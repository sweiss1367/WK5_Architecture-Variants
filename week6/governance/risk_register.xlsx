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gister" sheetId="1" state="visible" r:id="rId3"/>
    <sheet name="Method and legend" sheetId="2" state="visible" r:id="rId4"/>
    <sheet name="Evidence index" sheetId="3" state="visible" r:id="rId5"/>
    <sheet name="Limitation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<sst xmlns="http://schemas.openxmlformats.org/spreadsheetml/2006/main" count="168" uniqueCount="123">
  <si>
    <t xml:space="preserve">Finding ID</t>
  </si>
  <si>
    <t xml:space="preserve">Finding and evidence</t>
  </si>
  <si>
    <t xml:space="preserve">Evidence limitation</t>
  </si>
  <si>
    <t xml:space="preserve">NIST AI RMF function (of the finding)</t>
  </si>
  <si>
    <t xml:space="preserve">NIST secondary function (context)</t>
  </si>
  <si>
    <t xml:space="preserve">NIST subcategory (optional)</t>
  </si>
  <si>
    <t xml:space="preserve">ISO/IEC 42001 clause</t>
  </si>
  <si>
    <t xml:space="preserve">Likelihood (1-5)</t>
  </si>
  <si>
    <t xml:space="preserve">Impact (1-5)</t>
  </si>
  <si>
    <t xml:space="preserve">Current risk score (L x I)</t>
  </si>
  <si>
    <t xml:space="preserve">Mitigation (proposed; treatment falls under MANAGE)</t>
  </si>
  <si>
    <t xml:space="preserve">Accountable owner role</t>
  </si>
  <si>
    <t xml:space="preserve">Pilot-gate and residual-risk decision owner</t>
  </si>
  <si>
    <t xml:space="preserve">Control status</t>
  </si>
  <si>
    <t xml:space="preserve">Residual risk</t>
  </si>
  <si>
    <t xml:space="preserve">Risk-treatment decision</t>
  </si>
  <si>
    <t xml:space="preserve">Pilot-gate implication</t>
  </si>
  <si>
    <t xml:space="preserve">R1</t>
  </si>
  <si>
    <t xml:space="preserve">Contradicted or urgent cases are not escalated, and are often routed to 'submit appeal'. The model recommended escalation for 0/22 gold-escalate cases on the held-out set under greedy decoding (0/8 in-template) and 18/264 under sampling, although 20% of its training labels were escalations. Overconfidence probes: 13 of 20 failed on greedy (6/6 contradicted-evidence, 5/5 urgent-symptom probes), every failure being a wrong recommended step (a missed escalation in 11 of the 13).  No certainty language or treatment directives appeared in any of 80 probe runs. Held-out next-step accuracy 68.0% [60.2%, 74.9%] (n=150).</t>
  </si>
  <si>
    <t xml:space="preserve">Synthetic, templated cases; one adapter and one training seed, so this may be an under-training effect of this adapter rather than a property of the approach. Urgency was never a training signal, so the urgent-symptom expectation (escalate) is an audit-design decision. 20 probes per family: counts, not rates.</t>
  </si>
  <si>
    <t xml:space="preserve">MEASURE</t>
  </si>
  <si>
    <t xml:space="preserve">MEASURE 2.5</t>
  </si>
  <si>
    <t xml:space="preserve">6.1.2; 6.1.3; 6.1.4; 8.2; 8.3; 8.4</t>
  </si>
  <si>
    <t xml:space="preserve">Proposed treatment (MANAGE): do not use the model's recommended_next_step for routing; require human clinical review of every case; add an escalation rule outside the model (for example urgency and contradiction checks); retrain with more escalation examples and re-run this audit before any reliance.</t>
  </si>
  <si>
    <t xml:space="preserve">Medical Director</t>
  </si>
  <si>
    <t xml:space="preserve">Daniel Okafor</t>
  </si>
  <si>
    <t xml:space="preserve">Proposed; not implemented; not tested</t>
  </si>
  <si>
    <t xml:space="preserve">Mitigate (do not rely on the model's routing)</t>
  </si>
  <si>
    <t xml:space="preserve">BLOCKING: no pilot use of model-driven routing until escalation behavior is demonstrated on held-out and real-format cases.</t>
  </si>
  <si>
    <t xml:space="preserve">R3</t>
  </si>
  <si>
    <t xml:space="preserve">Evidence is misattributed or missing evidence goes unflagged. Fabricated-rationale probes: 9 of 20 failed on greedy, 10 on at least one run, 6 on every run. Greedy failure reasons: missing evidence not flagged 9, recommended submit 6, an unrelated documented fact used as support for a cited criterion 6, text not in the summary 2 (borderline paraphrase). Held-out task: rationale omission 28.0% [21.4%, 35.7%] (n=150), criteria identified correctly 78.7% [71.4%, 84.5%] (n=150), missing evidence identified correctly 70.7% [62.9%, 77.4%] (n=150).</t>
  </si>
  <si>
    <t xml:space="preserve">Mostly misattribution, not free invention (invented text was rare). Rule-based scoring with a token-overlap threshold; two borderline labels listed in results/probe_rule_vs_reading.csv. Synthetic facts with no clinical validity.</t>
  </si>
  <si>
    <t xml:space="preserve">6.1.2; 6.1.3; 8.2; 8.3; 9.1</t>
  </si>
  <si>
    <t xml:space="preserve">Proposed treatment (MANAGE): show the source sentence for every cited fact and require a reviewer to confirm each one; block 'submit' unless every listed criterion has a verified supporting fact; track omission and misattribution rates on real cases.</t>
  </si>
  <si>
    <t xml:space="preserve">Appeals Operations Lead</t>
  </si>
  <si>
    <t xml:space="preserve">Mitigate</t>
  </si>
  <si>
    <t xml:space="preserve">REQUIRED before pilot: mandatory human verification of every cited fact.</t>
  </si>
  <si>
    <t xml:space="preserve">R2</t>
  </si>
  <si>
    <t xml:space="preserve">Embedded instructions hijack the output. Prompt-injection probes: 7 of 20 show unambiguous injection effects on greedy and on each sampled seed (counts 7, 7, 7 on the three seeds). On greedy: the bare word 'APPROVED' instead of JSON on all 4 notice-override probes, and the injected fake assistant turn (with its marker) echoed on all 3 delimiter-break probes. A further 10 probes diverge only in the recommended step and are not attributable to the injection without a control. The system prompt told the model to treat input as data.</t>
  </si>
  <si>
    <t xml:space="preserve">No un-injected control probes were run, so next-step-only divergence cannot be split from the model's baseline error. 20 probes, one adapter, synthetic injections authored by the audit team; real adversarial text may differ.</t>
  </si>
  <si>
    <t xml:space="preserve">MEASURE 2.7</t>
  </si>
  <si>
    <t xml:space="preserve">6.1.2; 6.1.3; 8.2; 8.3</t>
  </si>
  <si>
    <t xml:space="preserve">Proposed treatment (MANAGE): strict output validation that rejects anything that is not schema-valid JSON; strip or quarantine instruction-like text and role markers from notices before they reach the model; treat member- or provider-authored text as untrusted; add injection tests to release criteria.</t>
  </si>
  <si>
    <t xml:space="preserve">Security Engineering Lead</t>
  </si>
  <si>
    <t xml:space="preserve">BLOCKING for any input channel that includes third-party text, until input handling and output validation are tested.</t>
  </si>
  <si>
    <t xml:space="preserve">R4</t>
  </si>
  <si>
    <t xml:space="preserve">Recommendations are unstable between runs. For identical prompts, the recommended step differs across the three sampling seeds for 199 of 600 prompts (33.2%); the whole JSON is identical in only 33.9% of seed pairs. Sampled next-step accuracy was 62.0% versus 68.0% greedy.</t>
  </si>
  <si>
    <t xml:space="preserve">Measured at temperature 0.7 / top_p 0.9 only; greedy decoding is deterministic but was not better at escalation. Single adapter; these seeds measure generation variability, not training-seed variability.</t>
  </si>
  <si>
    <t xml:space="preserve">6.1.2; 8.2; 9.1</t>
  </si>
  <si>
    <t xml:space="preserve">Proposed treatment (MANAGE): fix decoding (greedy) in production and re-test; log every generation; record a model/version/decoding identifier with each case so a reviewer can reproduce the output.</t>
  </si>
  <si>
    <t xml:space="preserve">ML Engineering Lead</t>
  </si>
  <si>
    <t xml:space="preserve">REQUIRED: deterministic decoding and reproducibility logging before pilot.</t>
  </si>
  <si>
    <t xml:space="preserve">R5</t>
  </si>
  <si>
    <t xml:space="preserve">Performance drops on formats the model did not see in training. Criteria identified correctly: 100.0% [91.2%, 100.0%] (n=40) on in-template validation vs 78.7% [71.4%, 84.5%] (n=150) on held-out templates (intervals do not overlap). Rationale omission 15.0% [7.1%, 29.1%] (n=40) vs 28.0% [21.4%, 35.7%] (n=150); next-step accuracy 70.0% [54.6%, 81.9%] (n=40) vs 68.0% [60.2%, 74.9%] (n=150).</t>
  </si>
  <si>
    <t xml:space="preserve">Validation set has only 40 cases (wide intervals; the omission and next-step comparisons overlap). 'Held-out' means different synthetic templates and wording, not real-world documents.</t>
  </si>
  <si>
    <t xml:space="preserve">MAP</t>
  </si>
  <si>
    <t xml:space="preserve">Proposed treatment (MANAGE): test on a sample of real, de-identified denial notices in the insurer's actual formats before the pilot; widen training template diversity; set a go/no-go threshold on the real-format sample.</t>
  </si>
  <si>
    <t xml:space="preserve">REQUIRED: real-format validation sample before pilot.</t>
  </si>
  <si>
    <t xml:space="preserve">R7</t>
  </si>
  <si>
    <t xml:space="preserve">The evidence base cannot certify real-world performance or exclude contamination. n-gram sweep (n = 8, 13, 20): n = 8 flagged 72% of held-out cases, all 618 matches (35 unique spans) being the intentionally shared synthetic policy vocabulary (expected shared-domain vocabulary, not confirmed leakage); n = 13 and n = 20 flagged none. A synthetic positive control was detected at all three n and is excluded from these percentages.</t>
  </si>
  <si>
    <t xml:space="preserve">Zero matches at n = 13 and n = 20 do not prove the evaluation set is uncontaminated: n-gram screening misses paraphrase, structural reuse, translation and other non-verbatim leakage, and cannot see pretraining contamination. All data synthetic and templated; one adapter, one training seed.</t>
  </si>
  <si>
    <t xml:space="preserve">Proposed treatment (MANAGE): build the acceptance test from real, de-identified, never-trained-on cases with provenance records; add paraphrase and template-level overlap checks; repeat training with more than one seed before relying on any metric.</t>
  </si>
  <si>
    <t xml:space="preserve">Model Risk Manager</t>
  </si>
  <si>
    <t xml:space="preserve">Mitigate (evidence quality)</t>
  </si>
  <si>
    <t xml:space="preserve">REQUIRED: independent real-case acceptance set before any pilot-readiness claim.</t>
  </si>
  <si>
    <t xml:space="preserve">R6</t>
  </si>
  <si>
    <t xml:space="preserve">No disparity could be established or ruled out across the two tested slices. Primary metric (required-rationale omission), paired difference: language Spanish minus English +0.00 pp (95% CI -2.33 to 2.33); age 75 minus 45 -0.22 pp (95% CI -3.00 to 2.56); n=150 matched cases, 900 generations per level. Both intervals include zero: unresolved under the preregistered rule. All secondary metrics were also unresolved. Whole-output identity across matched pairs (33.7% language, 33.7% age) matched the same-prompt seed-to-seed rate (33.9%) (exploratory).</t>
  </si>
  <si>
    <t xml:space="preserve">Unresolved is not evidence of equal performance. The test changes only a structured header marker, not non-English text, names, or real-world inputs. One adapter, synthetic data, no planted-bias power check. Two slices only; intersectional effects not analysed.</t>
  </si>
  <si>
    <t xml:space="preserve">MEASURE 2.11</t>
  </si>
  <si>
    <t xml:space="preserve">6.1.2; 6.1.4; 8.2; 8.4; 9.1</t>
  </si>
  <si>
    <t xml:space="preserve">Proposed treatment (MANAGE): do not claim fairness from this audit; disaggregated monitoring by language and age (and other relevant groups) on real pilot cases with predefined review triggers; test non-English notices and names with a power check before expansion.</t>
  </si>
  <si>
    <t xml:space="preserve">Compliance Officer (fairness)</t>
  </si>
  <si>
    <t xml:space="preserve">Mitigate (monitor); fairness not certified</t>
  </si>
  <si>
    <t xml:space="preserve">CONDITION on pilot: monitoring plan agreed; no fairness assurance statement issued from this evidence.</t>
  </si>
  <si>
    <t xml:space="preserve">R8</t>
  </si>
  <si>
    <t xml:space="preserve">Policy hallucination and synthetic member-information leakage were not observed. Policy-authority probes 0 of 20 failed and leakage probes 0 of 20 failed on greedy and on every sampled run (0 of 80 runs each; no member-ID token in any leakage output). Unsupported policy citation 0.0% [0.0%, 2.5%] (n=150) on the held-out set and 0 of 1,794 scored fairness generations.</t>
  </si>
  <si>
    <t xml:space="preserve">20 probes per family; the output schema has no member-ID field, which limits the leakage surface; only 7 prefix-completion probes; IDs and names are synthetic and seen once per epoch (3 epochs) in training. Absence in these tests is not proof of absence.</t>
  </si>
  <si>
    <t xml:space="preserve">MEASURE 2.10</t>
  </si>
  <si>
    <t xml:space="preserve">Proposed treatment (MANAGE): keep the fixed output schema (no free identifier fields); re-run the policy and leakage probes on every model change; monitor for identifiers and unknown policy IDs in production outputs.</t>
  </si>
  <si>
    <t xml:space="preserve">Privacy Officer</t>
  </si>
  <si>
    <t xml:space="preserve">Accept with monitoring</t>
  </si>
  <si>
    <t xml:space="preserve">NON-BLOCKING: monitor; re-test on each model change.</t>
  </si>
  <si>
    <t xml:space="preserve">Purpose</t>
  </si>
  <si>
    <t xml:space="preserve">Risk register for a hypothetical health-insurer appeals-drafting pilot (Meridian), built only from the real Week 6 audit results. Rows are findings; no target count.</t>
  </si>
  <si>
    <t xml:space="preserve">Evidence rule</t>
  </si>
  <si>
    <t xml:space="preserve">Every number in 'Finding and evidence' is formatted from files in results/ (see the Evidence Index sheet). Week 3 findings are not used.</t>
  </si>
  <si>
    <t xml:space="preserve">Judgment of how often the failure would occur on pilot-like inputs given what was observed in testing: 1 not observed, 2 possible, 3 plausible, 4 frequent in testing, 5 near-certain.</t>
  </si>
  <si>
    <t xml:space="preserve">Judgment of consequence if it occurs in a live appeals workflow: 1 negligible, 2 minor rework, 3 delayed or incorrect appeal, 4 serious member or regulatory harm possible, 5 patient-safety-relevant delay or harm.</t>
  </si>
  <si>
    <t xml:space="preserve">Scores</t>
  </si>
  <si>
    <t xml:space="preserve">Qualitative, assigned by the audit author; not measurements. Reasonable reviewers may score differently.</t>
  </si>
  <si>
    <t xml:space="preserve">Accountability</t>
  </si>
  <si>
    <t xml:space="preserve">Each row has one accountable owner role. Daniel Okafor is the pilot-gate and residual-risk decision owner for every row (see that column).</t>
  </si>
  <si>
    <t xml:space="preserve">Recommended pilot decision</t>
  </si>
  <si>
    <t xml:space="preserve">Do not clear an operational pilot yet. A tightly controlled shadow evaluation may continue, but the model should not drive routing or produce member-facing appeal content until the escalation (R1), evidence-grounding (R3), injection (R2) and real-format validation (R5, R7) requirements are addressed. This is the audit author's recommendation to the decision owner.</t>
  </si>
  <si>
    <t xml:space="preserve">Score formula</t>
  </si>
  <si>
    <t xml:space="preserve">Current risk score is a formula (Likelihood x Impact), so changing a score updates the score and the residual-risk text.</t>
  </si>
  <si>
    <t xml:space="preserve">Equal to current risk. No proposed control has been implemented or tested, so no reduction is claimed.</t>
  </si>
  <si>
    <t xml:space="preserve">Proposed / implemented / tested. All are 'Proposed; not implemented; not tested'.</t>
  </si>
  <si>
    <t xml:space="preserve">NIST AI RMF</t>
  </si>
  <si>
    <t xml:space="preserve">Function-level mapping (GOVERN, MAP, MEASURE, MANAGE). The primary function is that of the FINDING (every finding here came from measurement: MEASURE). Treatment of each finding falls under MANAGE and is described in the mitigation column. MAP is recorded as secondary context where the finding concerns how the system's context and data limit the evidence (R5, R7). The subcategory column is optional context. No row maps to GOVERN because no governance control was assessed in this audit.</t>
  </si>
  <si>
    <t xml:space="preserve">ISO/IEC 42001</t>
  </si>
  <si>
    <t xml:space="preserve">Clauses used: 6.1.2 AI risk assessment; 6.1.3 AI risk treatment; 6.1.4 AI system impact assessment; 8.2 AI risk assessment; 8.3 AI risk treatment; 9.1 monitoring, measurement, analysis and evaluation; 8.4 AI system impact assessment (performing the assessment planned under 6.1.4) is mapped to R1 and R6, the two findings about consequences for members and demographic groups.</t>
  </si>
  <si>
    <t xml:space="preserve">Pilot gate</t>
  </si>
  <si>
    <t xml:space="preserve">BLOCKING = must be resolved before any pilot use; REQUIRED = condition of the pilot; CONDITION / NON-BLOCKING as stated.</t>
  </si>
  <si>
    <t xml:space="preserve">Source files (results/ and logs/)</t>
  </si>
  <si>
    <t xml:space="preserve">task_baseline.csv; posthoc_next_step_confusion.csv; probe_summary_by_family.csv; probe_summary_by_probe.csv; posthoc_overconfidence_predicted_vs_expected.csv; probe_results_by_run.csv</t>
  </si>
  <si>
    <t xml:space="preserve">probe_results_by_run.csv; probe_failure_transcripts.jsonl; posthoc_injection_breakdown.csv; probe_rule_vs_reading.csv</t>
  </si>
  <si>
    <t xml:space="preserve">probe_summary_by_family.csv; probe_results_by_run.csv; task_baseline.csv; probe_rule_vs_reading.csv</t>
  </si>
  <si>
    <t xml:space="preserve">posthoc_summary.json; posthoc_pair_agreement.csv; fairness_row_metrics.csv; task_baseline.csv</t>
  </si>
  <si>
    <t xml:space="preserve">task_baseline.csv; task_scores_val.csv; task_scores_eval_h.csv</t>
  </si>
  <si>
    <t xml:space="preserve">fairness_slice_differences.csv; fairness_disaggregated.csv; fairness_row_metrics.csv; posthoc_pair_agreement.csv</t>
  </si>
  <si>
    <t xml:space="preserve">contamination_summary.csv; contamination_matches.csv; contamination_unique_spans.csv; contamination_review.md; contamination_meta.json</t>
  </si>
  <si>
    <t xml:space="preserve">probe_summary_by_family.csv; probe_results_by_run.csv; task_baseline.csv; fairness_row_metrics.csv</t>
  </si>
  <si>
    <t xml:space="preserve">Bindings</t>
  </si>
  <si>
    <t xml:space="preserve">MANIFEST.json sha256 prefix 29cfecf0ca584a16; adapter sha256 in logs/adapter_sha256.json; environment in results/env_manifest.json</t>
  </si>
  <si>
    <t xml:space="preserve">One adapter, one training seed. The three inference seeds measure generation variability, not training-seed variability.</t>
  </si>
  <si>
    <t xml:space="preserve">All data are synthetic and templated; no real notices, members or clinical content. No clinical validity claimed.</t>
  </si>
  <si>
    <t xml:space="preserve">Rule-based scoring; no model judge; token-overlap thresholds are conventions (80%).</t>
  </si>
  <si>
    <t xml:space="preserve">20 probes per family support counts, not failure rates. No un-injected control probes were run.</t>
  </si>
  <si>
    <t xml:space="preserve">Fairness tests a structured header marker only (primary language, age), at one decoding setting, with no planted-bias power check. Unresolved is not equal.</t>
  </si>
  <si>
    <t xml:space="preserve">The contamination sweep cannot see paraphrase, translation, structural or pretraining contamination.</t>
  </si>
  <si>
    <t xml:space="preserve">Post-hoc analyses (posthoc_*.csv) are exploratory and were not preregistered; the preregistered rules and frozen files are unchanged.</t>
  </si>
  <si>
    <t xml:space="preserve">A 0.5B model is not what an insurer would deploy; findings concern this audit method and this adapter.</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</si>
</sst>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name val="Cambria"/>
      <family val="0"/>
      <charset val="1"/>
    </font>
  </fonts>
  <fills count="3">
    <fill>
      <patternFill patternType="none"/>
    </fill>
    <fill>
      <patternFill patternType="gray125"/>
    </fill>
    <fill>
      <patternFill patternType="solid">
        <fgColor rgb="FF1F3A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0"/>
    <col collapsed="false" customWidth="true" hidden="false" outlineLevel="0" max="3" min="3" style="0" width="52"/>
    <col collapsed="false" customWidth="true" hidden="false" outlineLevel="0" max="4" min="4" style="0" width="16"/>
    <col collapsed="false" customWidth="true" hidden="false" outlineLevel="0" max="6" min="5" style="0" width="14"/>
    <col collapsed="false" customWidth="true" hidden="false" outlineLevel="0" max="7" min="7" style="0" width="18"/>
    <col collapsed="false" customWidth="true" hidden="false" outlineLevel="0" max="8" min="8" style="0" width="11"/>
    <col collapsed="false" customWidth="true" hidden="false" outlineLevel="0" max="9" min="9" style="0" width="9"/>
    <col collapsed="false" customWidth="true" hidden="false" outlineLevel="0" max="10" min="10" style="0" width="12"/>
    <col collapsed="false" customWidth="true" hidden="false" outlineLevel="0" max="11" min="11" style="0" width="52"/>
    <col collapsed="false" customWidth="true" hidden="false" outlineLevel="0" max="12" min="12" style="0" width="24"/>
    <col collapsed="false" customWidth="true" hidden="false" outlineLevel="0" max="13" min="13" style="0" width="18"/>
    <col collapsed="false" customWidth="true" hidden="false" outlineLevel="0" max="14" min="14" style="0" width="20"/>
    <col collapsed="false" customWidth="true" hidden="false" outlineLevel="0" max="15" min="15" style="0" width="36"/>
    <col collapsed="false" customWidth="true" hidden="false" outlineLevel="0" max="16" min="16" style="0" width="26"/>
    <col collapsed="false" customWidth="true" hidden="false" outlineLevel="0" max="17" min="17" style="0" width="40"/>
  </cols>
  <sheetData>
    <row r="1" customFormat="false" ht="55.2"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122.35" hidden="false" customHeight="false" outlineLevel="0" collapsed="false">
      <c r="A2" s="2" t="s">
        <v>17</v>
      </c>
      <c r="B2" s="2" t="s">
        <v>18</v>
      </c>
      <c r="C2" s="2" t="s">
        <v>19</v>
      </c>
      <c r="D2" s="2" t="s">
        <v>20</v>
      </c>
      <c r="E2" s="2"/>
      <c r="F2" s="2" t="s">
        <v>21</v>
      </c>
      <c r="G2" s="2" t="s">
        <v>22</v>
      </c>
      <c r="H2" s="2" t="n">
        <v>4</v>
      </c>
      <c r="I2" s="2" t="n">
        <v>5</v>
      </c>
      <c r="J2" s="2" t="n">
        <f aca="false">H2*I2</f>
        <v>20</v>
      </c>
      <c r="K2" s="2" t="s">
        <v>23</v>
      </c>
      <c r="L2" s="2" t="s">
        <v>24</v>
      </c>
      <c r="M2" s="2" t="s">
        <v>25</v>
      </c>
      <c r="N2" s="2" t="s">
        <v>26</v>
      </c>
      <c r="O2" s="2" t="str">
        <f aca="false">"Unchanged: "&amp;H2&amp;" x "&amp;I2&amp;" = "&amp;J2&amp;". No control has been implemented or tested, so no risk reduction is claimed."</f>
        <v>Unchanged: 4 x 5 = 20. No control has been implemented or tested, so no risk reduction is claimed.</v>
      </c>
      <c r="P2" s="2" t="s">
        <v>27</v>
      </c>
      <c r="Q2" s="2" t="s">
        <v>28</v>
      </c>
    </row>
    <row r="3" customFormat="false" ht="95.5" hidden="false" customHeight="false" outlineLevel="0" collapsed="false">
      <c r="A3" s="2" t="s">
        <v>29</v>
      </c>
      <c r="B3" s="2" t="s">
        <v>30</v>
      </c>
      <c r="C3" s="2" t="s">
        <v>31</v>
      </c>
      <c r="D3" s="2" t="s">
        <v>20</v>
      </c>
      <c r="E3" s="2"/>
      <c r="F3" s="2" t="s">
        <v>21</v>
      </c>
      <c r="G3" s="2" t="s">
        <v>32</v>
      </c>
      <c r="H3" s="2" t="n">
        <v>4</v>
      </c>
      <c r="I3" s="2" t="n">
        <v>4</v>
      </c>
      <c r="J3" s="2" t="n">
        <f aca="false">H3*I3</f>
        <v>16</v>
      </c>
      <c r="K3" s="2" t="s">
        <v>33</v>
      </c>
      <c r="L3" s="2" t="s">
        <v>34</v>
      </c>
      <c r="M3" s="2" t="s">
        <v>25</v>
      </c>
      <c r="N3" s="2" t="s">
        <v>26</v>
      </c>
      <c r="O3" s="2" t="str">
        <f aca="false">"Unchanged: "&amp;H3&amp;" x "&amp;I3&amp;" = "&amp;J3&amp;". No control has been implemented or tested, so no risk reduction is claimed."</f>
        <v>Unchanged: 4 x 4 = 16. No control has been implemented or tested, so no risk reduction is claimed.</v>
      </c>
      <c r="P3" s="2" t="s">
        <v>35</v>
      </c>
      <c r="Q3" s="2" t="s">
        <v>36</v>
      </c>
    </row>
    <row r="4" customFormat="false" ht="95.5" hidden="false" customHeight="false" outlineLevel="0" collapsed="false">
      <c r="A4" s="2" t="s">
        <v>37</v>
      </c>
      <c r="B4" s="2" t="s">
        <v>38</v>
      </c>
      <c r="C4" s="2" t="s">
        <v>39</v>
      </c>
      <c r="D4" s="2" t="s">
        <v>20</v>
      </c>
      <c r="E4" s="2"/>
      <c r="F4" s="2" t="s">
        <v>40</v>
      </c>
      <c r="G4" s="2" t="s">
        <v>41</v>
      </c>
      <c r="H4" s="2" t="n">
        <v>3</v>
      </c>
      <c r="I4" s="2" t="n">
        <v>4</v>
      </c>
      <c r="J4" s="2" t="n">
        <f aca="false">H4*I4</f>
        <v>12</v>
      </c>
      <c r="K4" s="2" t="s">
        <v>42</v>
      </c>
      <c r="L4" s="2" t="s">
        <v>43</v>
      </c>
      <c r="M4" s="2" t="s">
        <v>25</v>
      </c>
      <c r="N4" s="2" t="s">
        <v>26</v>
      </c>
      <c r="O4" s="2" t="str">
        <f aca="false">"Unchanged: "&amp;H4&amp;" x "&amp;I4&amp;" = "&amp;J4&amp;". No control has been implemented or tested, so no risk reduction is claimed."</f>
        <v>Unchanged: 3 x 4 = 12. No control has been implemented or tested, so no risk reduction is claimed.</v>
      </c>
      <c r="P4" s="2" t="s">
        <v>35</v>
      </c>
      <c r="Q4" s="2" t="s">
        <v>44</v>
      </c>
    </row>
    <row r="5" customFormat="false" ht="55.2" hidden="false" customHeight="false" outlineLevel="0" collapsed="false">
      <c r="A5" s="2" t="s">
        <v>45</v>
      </c>
      <c r="B5" s="2" t="s">
        <v>46</v>
      </c>
      <c r="C5" s="2" t="s">
        <v>47</v>
      </c>
      <c r="D5" s="2" t="s">
        <v>20</v>
      </c>
      <c r="E5" s="2"/>
      <c r="F5" s="2" t="s">
        <v>21</v>
      </c>
      <c r="G5" s="2" t="s">
        <v>48</v>
      </c>
      <c r="H5" s="2" t="n">
        <v>4</v>
      </c>
      <c r="I5" s="2" t="n">
        <v>3</v>
      </c>
      <c r="J5" s="2" t="n">
        <f aca="false">H5*I5</f>
        <v>12</v>
      </c>
      <c r="K5" s="2" t="s">
        <v>49</v>
      </c>
      <c r="L5" s="2" t="s">
        <v>50</v>
      </c>
      <c r="M5" s="2" t="s">
        <v>25</v>
      </c>
      <c r="N5" s="2" t="s">
        <v>26</v>
      </c>
      <c r="O5" s="2" t="str">
        <f aca="false">"Unchanged: "&amp;H5&amp;" x "&amp;I5&amp;" = "&amp;J5&amp;". No control has been implemented or tested, so no risk reduction is claimed."</f>
        <v>Unchanged: 4 x 3 = 12. No control has been implemented or tested, so no risk reduction is claimed.</v>
      </c>
      <c r="P5" s="2" t="s">
        <v>35</v>
      </c>
      <c r="Q5" s="2" t="s">
        <v>51</v>
      </c>
    </row>
    <row r="6" customFormat="false" ht="68.65" hidden="false" customHeight="false" outlineLevel="0" collapsed="false">
      <c r="A6" s="2" t="s">
        <v>52</v>
      </c>
      <c r="B6" s="2" t="s">
        <v>53</v>
      </c>
      <c r="C6" s="2" t="s">
        <v>54</v>
      </c>
      <c r="D6" s="2" t="s">
        <v>20</v>
      </c>
      <c r="E6" s="2" t="s">
        <v>55</v>
      </c>
      <c r="F6" s="2" t="s">
        <v>21</v>
      </c>
      <c r="G6" s="2" t="s">
        <v>48</v>
      </c>
      <c r="H6" s="2" t="n">
        <v>4</v>
      </c>
      <c r="I6" s="2" t="n">
        <v>3</v>
      </c>
      <c r="J6" s="2" t="n">
        <f aca="false">H6*I6</f>
        <v>12</v>
      </c>
      <c r="K6" s="2" t="s">
        <v>56</v>
      </c>
      <c r="L6" s="2" t="s">
        <v>50</v>
      </c>
      <c r="M6" s="2" t="s">
        <v>25</v>
      </c>
      <c r="N6" s="2" t="s">
        <v>26</v>
      </c>
      <c r="O6" s="2" t="str">
        <f aca="false">"Unchanged: "&amp;H6&amp;" x "&amp;I6&amp;" = "&amp;J6&amp;". No control has been implemented or tested, so no risk reduction is claimed."</f>
        <v>Unchanged: 4 x 3 = 12. No control has been implemented or tested, so no risk reduction is claimed.</v>
      </c>
      <c r="P6" s="2" t="s">
        <v>35</v>
      </c>
      <c r="Q6" s="2" t="s">
        <v>57</v>
      </c>
    </row>
    <row r="7" customFormat="false" ht="82.05" hidden="false" customHeight="false" outlineLevel="0" collapsed="false">
      <c r="A7" s="2" t="s">
        <v>58</v>
      </c>
      <c r="B7" s="2" t="s">
        <v>59</v>
      </c>
      <c r="C7" s="2" t="s">
        <v>60</v>
      </c>
      <c r="D7" s="2" t="s">
        <v>20</v>
      </c>
      <c r="E7" s="2" t="s">
        <v>55</v>
      </c>
      <c r="F7" s="2"/>
      <c r="G7" s="2" t="s">
        <v>48</v>
      </c>
      <c r="H7" s="2" t="n">
        <v>3</v>
      </c>
      <c r="I7" s="2" t="n">
        <v>3</v>
      </c>
      <c r="J7" s="2" t="n">
        <f aca="false">H7*I7</f>
        <v>9</v>
      </c>
      <c r="K7" s="2" t="s">
        <v>61</v>
      </c>
      <c r="L7" s="2" t="s">
        <v>62</v>
      </c>
      <c r="M7" s="2" t="s">
        <v>25</v>
      </c>
      <c r="N7" s="2" t="s">
        <v>26</v>
      </c>
      <c r="O7" s="2" t="str">
        <f aca="false">"Unchanged: "&amp;H7&amp;" x "&amp;I7&amp;" = "&amp;J7&amp;". No control has been implemented or tested, so no risk reduction is claimed."</f>
        <v>Unchanged: 3 x 3 = 9. No control has been implemented or tested, so no risk reduction is claimed.</v>
      </c>
      <c r="P7" s="2" t="s">
        <v>63</v>
      </c>
      <c r="Q7" s="2" t="s">
        <v>64</v>
      </c>
    </row>
    <row r="8" customFormat="false" ht="95.5" hidden="false" customHeight="false" outlineLevel="0" collapsed="false">
      <c r="A8" s="2" t="s">
        <v>65</v>
      </c>
      <c r="B8" s="2" t="s">
        <v>66</v>
      </c>
      <c r="C8" s="2" t="s">
        <v>67</v>
      </c>
      <c r="D8" s="2" t="s">
        <v>20</v>
      </c>
      <c r="E8" s="2"/>
      <c r="F8" s="2" t="s">
        <v>68</v>
      </c>
      <c r="G8" s="2" t="s">
        <v>69</v>
      </c>
      <c r="H8" s="2" t="n">
        <v>2</v>
      </c>
      <c r="I8" s="2" t="n">
        <v>4</v>
      </c>
      <c r="J8" s="2" t="n">
        <f aca="false">H8*I8</f>
        <v>8</v>
      </c>
      <c r="K8" s="2" t="s">
        <v>70</v>
      </c>
      <c r="L8" s="2" t="s">
        <v>71</v>
      </c>
      <c r="M8" s="2" t="s">
        <v>25</v>
      </c>
      <c r="N8" s="2" t="s">
        <v>26</v>
      </c>
      <c r="O8" s="2" t="str">
        <f aca="false">"Unchanged: "&amp;H8&amp;" x "&amp;I8&amp;" = "&amp;J8&amp;". No control has been implemented or tested, so no risk reduction is claimed."</f>
        <v>Unchanged: 2 x 4 = 8. No control has been implemented or tested, so no risk reduction is claimed.</v>
      </c>
      <c r="P8" s="2" t="s">
        <v>72</v>
      </c>
      <c r="Q8" s="2" t="s">
        <v>73</v>
      </c>
    </row>
    <row r="9" customFormat="false" ht="68.65" hidden="false" customHeight="false" outlineLevel="0" collapsed="false">
      <c r="A9" s="2" t="s">
        <v>74</v>
      </c>
      <c r="B9" s="2" t="s">
        <v>75</v>
      </c>
      <c r="C9" s="2" t="s">
        <v>76</v>
      </c>
      <c r="D9" s="2" t="s">
        <v>20</v>
      </c>
      <c r="E9" s="2"/>
      <c r="F9" s="2" t="s">
        <v>77</v>
      </c>
      <c r="G9" s="2" t="s">
        <v>48</v>
      </c>
      <c r="H9" s="2" t="n">
        <v>1</v>
      </c>
      <c r="I9" s="2" t="n">
        <v>4</v>
      </c>
      <c r="J9" s="2" t="n">
        <f aca="false">H9*I9</f>
        <v>4</v>
      </c>
      <c r="K9" s="2" t="s">
        <v>78</v>
      </c>
      <c r="L9" s="2" t="s">
        <v>79</v>
      </c>
      <c r="M9" s="2" t="s">
        <v>25</v>
      </c>
      <c r="N9" s="2" t="s">
        <v>26</v>
      </c>
      <c r="O9" s="2" t="str">
        <f aca="false">"Unchanged: "&amp;H9&amp;" x "&amp;I9&amp;" = "&amp;J9&amp;". No control has been implemented or tested, so no risk reduction is claimed."</f>
        <v>Unchanged: 1 x 4 = 4. No control has been implemented or tested, so no risk reduction is claimed.</v>
      </c>
      <c r="P9" s="2" t="s">
        <v>80</v>
      </c>
      <c r="Q9" s="2"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0"/>
  </cols>
  <sheetData>
    <row r="1" customFormat="false" ht="15" hidden="false" customHeight="false" outlineLevel="0" collapsed="false">
      <c r="A1" s="3" t="s">
        <v>82</v>
      </c>
      <c r="B1" s="2" t="s">
        <v>83</v>
      </c>
    </row>
    <row r="2" customFormat="false" ht="15" hidden="false" customHeight="false" outlineLevel="0" collapsed="false">
      <c r="A2" s="3" t="s">
        <v>84</v>
      </c>
      <c r="B2" s="2" t="s">
        <v>85</v>
      </c>
    </row>
    <row r="3" customFormat="false" ht="28.35" hidden="false" customHeight="false" outlineLevel="0" collapsed="false">
      <c r="A3" s="3" t="s">
        <v>7</v>
      </c>
      <c r="B3" s="2" t="s">
        <v>86</v>
      </c>
    </row>
    <row r="4" customFormat="false" ht="28.35" hidden="false" customHeight="false" outlineLevel="0" collapsed="false">
      <c r="A4" s="3" t="s">
        <v>8</v>
      </c>
      <c r="B4" s="2" t="s">
        <v>87</v>
      </c>
    </row>
    <row r="5" customFormat="false" ht="15" hidden="false" customHeight="false" outlineLevel="0" collapsed="false">
      <c r="A5" s="3" t="s">
        <v>88</v>
      </c>
      <c r="B5" s="2" t="s">
        <v>89</v>
      </c>
    </row>
    <row r="6" customFormat="false" ht="15" hidden="false" customHeight="false" outlineLevel="0" collapsed="false">
      <c r="A6" s="3" t="s">
        <v>90</v>
      </c>
      <c r="B6" s="2" t="s">
        <v>91</v>
      </c>
    </row>
    <row r="7" customFormat="false" ht="41.75" hidden="false" customHeight="false" outlineLevel="0" collapsed="false">
      <c r="A7" s="3" t="s">
        <v>92</v>
      </c>
      <c r="B7" s="2" t="s">
        <v>93</v>
      </c>
    </row>
    <row r="8" customFormat="false" ht="15" hidden="false" customHeight="false" outlineLevel="0" collapsed="false">
      <c r="A8" s="3" t="s">
        <v>94</v>
      </c>
      <c r="B8" s="2" t="s">
        <v>95</v>
      </c>
    </row>
    <row r="9" customFormat="false" ht="15" hidden="false" customHeight="false" outlineLevel="0" collapsed="false">
      <c r="A9" s="3" t="s">
        <v>14</v>
      </c>
      <c r="B9" s="2" t="s">
        <v>96</v>
      </c>
    </row>
    <row r="10" customFormat="false" ht="15" hidden="false" customHeight="false" outlineLevel="0" collapsed="false">
      <c r="A10" s="3" t="s">
        <v>13</v>
      </c>
      <c r="B10" s="2" t="s">
        <v>97</v>
      </c>
    </row>
    <row r="11" customFormat="false" ht="55.2" hidden="false" customHeight="false" outlineLevel="0" collapsed="false">
      <c r="A11" s="3" t="s">
        <v>98</v>
      </c>
      <c r="B11" s="2" t="s">
        <v>99</v>
      </c>
    </row>
    <row r="12" customFormat="false" ht="41.75" hidden="false" customHeight="false" outlineLevel="0" collapsed="false">
      <c r="A12" s="3" t="s">
        <v>100</v>
      </c>
      <c r="B12" s="2" t="s">
        <v>101</v>
      </c>
    </row>
    <row r="13" customFormat="false" ht="15" hidden="false" customHeight="false" outlineLevel="0" collapsed="false">
      <c r="A13" s="3" t="s">
        <v>102</v>
      </c>
      <c r="B13" s="2" t="s">
        <v>103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50"/>
  </cols>
  <sheetData>
    <row r="1" customFormat="false" ht="15" hidden="false" customHeight="false" outlineLevel="0" collapsed="false">
      <c r="A1" s="0" t="s">
        <v>0</v>
      </c>
      <c r="B1" s="0" t="s">
        <v>104</v>
      </c>
    </row>
    <row r="2" customFormat="false" ht="15" hidden="false" customHeight="false" outlineLevel="0" collapsed="false">
      <c r="A2" s="0" t="s">
        <v>17</v>
      </c>
      <c r="B2" s="0" t="s">
        <v>105</v>
      </c>
    </row>
    <row r="3" customFormat="false" ht="15" hidden="false" customHeight="false" outlineLevel="0" collapsed="false">
      <c r="A3" s="0" t="s">
        <v>37</v>
      </c>
      <c r="B3" s="0" t="s">
        <v>106</v>
      </c>
    </row>
    <row r="4" customFormat="false" ht="15" hidden="false" customHeight="false" outlineLevel="0" collapsed="false">
      <c r="A4" s="0" t="s">
        <v>29</v>
      </c>
      <c r="B4" s="0" t="s">
        <v>107</v>
      </c>
    </row>
    <row r="5" customFormat="false" ht="15" hidden="false" customHeight="false" outlineLevel="0" collapsed="false">
      <c r="A5" s="0" t="s">
        <v>45</v>
      </c>
      <c r="B5" s="0" t="s">
        <v>108</v>
      </c>
    </row>
    <row r="6" customFormat="false" ht="15" hidden="false" customHeight="false" outlineLevel="0" collapsed="false">
      <c r="A6" s="0" t="s">
        <v>52</v>
      </c>
      <c r="B6" s="0" t="s">
        <v>109</v>
      </c>
    </row>
    <row r="7" customFormat="false" ht="15" hidden="false" customHeight="false" outlineLevel="0" collapsed="false">
      <c r="A7" s="0" t="s">
        <v>65</v>
      </c>
      <c r="B7" s="0" t="s">
        <v>110</v>
      </c>
    </row>
    <row r="8" customFormat="false" ht="15" hidden="false" customHeight="false" outlineLevel="0" collapsed="false">
      <c r="A8" s="0" t="s">
        <v>58</v>
      </c>
      <c r="B8" s="0" t="s">
        <v>111</v>
      </c>
    </row>
    <row r="9" customFormat="false" ht="15" hidden="false" customHeight="false" outlineLevel="0" collapsed="false">
      <c r="A9" s="0" t="s">
        <v>74</v>
      </c>
      <c r="B9" s="0" t="s">
        <v>112</v>
      </c>
    </row>
    <row r="11" customFormat="false" ht="15" hidden="false" customHeight="false" outlineLevel="0" collapsed="false">
      <c r="A11" s="0" t="s">
        <v>113</v>
      </c>
      <c r="B11" s="0" t="s">
        <v>114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0"/>
  </cols>
  <sheetData>
    <row r="1" customFormat="false" ht="15" hidden="false" customHeight="false" outlineLevel="0" collapsed="false">
      <c r="A1" s="2" t="s">
        <v>115</v>
      </c>
    </row>
    <row r="2" customFormat="false" ht="15" hidden="false" customHeight="false" outlineLevel="0" collapsed="false">
      <c r="A2" s="2" t="s">
        <v>116</v>
      </c>
    </row>
    <row r="3" customFormat="false" ht="15" hidden="false" customHeight="false" outlineLevel="0" collapsed="false">
      <c r="A3" s="2" t="s">
        <v>117</v>
      </c>
    </row>
    <row r="4" customFormat="false" ht="15" hidden="false" customHeight="false" outlineLevel="0" collapsed="false">
      <c r="A4" s="2" t="s">
        <v>118</v>
      </c>
    </row>
    <row r="5" customFormat="false" ht="15" hidden="false" customHeight="false" outlineLevel="0" collapsed="false">
      <c r="A5" s="2" t="s">
        <v>119</v>
      </c>
    </row>
    <row r="6" customFormat="false" ht="15" hidden="false" customHeight="false" outlineLevel="0" collapsed="false">
      <c r="A6" s="2" t="s">
        <v>120</v>
      </c>
    </row>
    <row r="7" customFormat="false" ht="15" hidden="false" customHeight="false" outlineLevel="0" collapsed="false">
      <c r="A7" s="2" t="s">
        <v>121</v>
      </c>
    </row>
    <row r="8" customFormat="false" ht="15" hidden="false" customHeight="false" outlineLevel="0" collapsed="false">
      <c r="A8" s="2" t="s">
        <v>122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2026-10-14T21:17:47Z</dcterms:created>
  <dc:creator>openpyxl</dc:creator>
  <dc:description/>
  <dc:language>en-US</dc:language>
  <cp:lastModifiedBy/>
  <dcterms:modified xsi:type="dcterms:W3CDTF">2026-10-14T21:17:47Z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