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de-off Board" sheetId="1" r:id="rId1"/>
    <sheet name="Quality by Seed" sheetId="2" r:id="rId2"/>
    <sheet name="Per-Class Results" sheetId="3" r:id="rId3"/>
    <sheet name="Raw Benchmark Runs" sheetId="4" r:id="rId4"/>
    <sheet name="Benchmark Detail" sheetId="5" r:id="rId5"/>
    <sheet name="Scaling Law" sheetId="6" r:id="rId6"/>
    <sheet name="Methodology" sheetId="7" r:id="rId7"/>
    <sheet name="Recommendation" sheetId="8" r:id="rId8"/>
  </sheets>
  <definedNames>
    <definedName name="_xlnm._FilterDatabase" localSheetId="3" hidden="1">'Raw Benchmark Runs'!$A$4:$F$504</definedName>
  </definedNames>
  <calcPr calcId="124519" fullCalcOnLoad="1"/>
</workbook>
</file>

<file path=xl/sharedStrings.xml><?xml version="1.0" encoding="utf-8"?>
<sst xmlns="http://schemas.openxmlformats.org/spreadsheetml/2006/main" count="1170" uniqueCount="398">
  <si>
    <t>Quality by Seed: three seeds per configuration</t>
  </si>
  <si>
    <t>Test set: 3,000 documents (120 Hazmat, 120 Oversize / Heavy Haul). Each seed value is correct documents / test support; click a cell to see the counts.</t>
  </si>
  <si>
    <t>Configuration</t>
  </si>
  <si>
    <t>Seed</t>
  </si>
  <si>
    <t>Overall Accuracy</t>
  </si>
  <si>
    <t>Hazmat Recall</t>
  </si>
  <si>
    <t>Oversize / Heavy-Haul Recall</t>
  </si>
  <si>
    <t>Rare-Class Macro Recall</t>
  </si>
  <si>
    <t>Source (executed notebook output)</t>
  </si>
  <si>
    <t>FP32 Baseline Transformer</t>
  </si>
  <si>
    <t>bol_experiment_cuda_run_v4_benchmark.ipynb, cell 14 output (per-seed table), seed 0</t>
  </si>
  <si>
    <t>bol_experiment_cuda_run_v4_benchmark.ipynb, cell 14 output (per-seed table), seed 1</t>
  </si>
  <si>
    <t>bol_experiment_cuda_run_v4_benchmark.ipynb, cell 14 output (per-seed table), seed 2</t>
  </si>
  <si>
    <t>FP32 Linear Attention</t>
  </si>
  <si>
    <t>bol_experiment_cuda_run_v4_benchmark.ipynb, cell 23 output (per-seed table), seed 0</t>
  </si>
  <si>
    <t>bol_experiment_cuda_run_v4_benchmark.ipynb, cell 23 output (per-seed table), seed 1</t>
  </si>
  <si>
    <t>bol_experiment_cuda_run_v4_benchmark.ipynb, cell 23 output (per-seed table), seed 2</t>
  </si>
  <si>
    <t>Mixed-Precision INT8 Baseline</t>
  </si>
  <si>
    <t>bol_experiment_cuda_run_v4_benchmark.ipynb, cell 31 output (per-seed table), seed 0</t>
  </si>
  <si>
    <t>bol_experiment_cuda_run_v4_benchmark.ipynb, cell 31 output (per-seed table), seed 1</t>
  </si>
  <si>
    <t>bol_experiment_cuda_run_v4_benchmark.ipynb, cell 31 output (per-seed table), seed 2</t>
  </si>
  <si>
    <t>Distilled Student</t>
  </si>
  <si>
    <t>bol_experiment_cuda_run_v4_benchmark.ipynb, cell 38 output (per-seed table), seed 0</t>
  </si>
  <si>
    <t>bol_experiment_cuda_run_v4_benchmark.ipynb, cell 38 output (per-seed table), seed 1</t>
  </si>
  <si>
    <t>bol_experiment_cuda_run_v4_benchmark.ipynb, cell 38 output (per-seed table), seed 2</t>
  </si>
  <si>
    <t>Summary over the three seeds: mean and sample standard deviation (n - 1)</t>
  </si>
  <si>
    <t>Statistic (std dev in percentage points)</t>
  </si>
  <si>
    <t>Mean</t>
  </si>
  <si>
    <t>Sample Std Dev</t>
  </si>
  <si>
    <t>Difference from the FP32 baseline, compared with the observed seed spread</t>
  </si>
  <si>
    <t>Metric</t>
  </si>
  <si>
    <t>Mean Difference vs Baseline (pp)</t>
  </si>
  <si>
    <t>Seed 0 Difference (pp)</t>
  </si>
  <si>
    <t>Seed 1 Difference (pp)</t>
  </si>
  <si>
    <t>Seed 2 Difference (pp)</t>
  </si>
  <si>
    <t>Baseline Seed Std Dev (pp)</t>
  </si>
  <si>
    <t>Config Seed Std Dev (pp)</t>
  </si>
  <si>
    <t>|Difference| / Larger Std Dev</t>
  </si>
  <si>
    <t>Reading</t>
  </si>
  <si>
    <t>How to read this sheet: a difference below 1.00 in the second-to-last column is smaller than the seed-to-seed spread of the larger of the two models, so it should be treated as similar, not as a real gain or loss.</t>
  </si>
  <si>
    <t>Only three seeds were run, so each standard deviation is itself uncertain. No statistical significance test was run; wording such as 'similar within observed seed variation' is descriptive.</t>
  </si>
  <si>
    <t>Rare-class test support is 120 documents per class, so one document = 0.83 percentage points of class recall.</t>
  </si>
  <si>
    <t>Seed pairing: the linear-attention model starts from the same initial weights as the baseline of the same seed; the INT8 model is quantized from the baseline of the same seed; the student of seed s is taught by the baseline of seed s. The per-seed difference columns are therefore paired comparisons.</t>
  </si>
  <si>
    <t>Provenance: per-seed values are the 4-decimal tables printed in bol_experiment_cuda_run_v4_benchmark.ipynb. Each equals correct documents / support; the counts were recovered exactly and the means and standard deviations were checked against benchmark_summary.csv (largest difference 1.1e-16).</t>
  </si>
  <si>
    <t>Per-Class Results (mean over seeds 0, 1, 2)</t>
  </si>
  <si>
    <t>Accuracy per class = recall of that class. Rare classes (Hazmat, Oversize / Heavy Haul) are shaded and each has only 120 test documents: a rare-class decline is shown here even when overall accuracy is unchanged.</t>
  </si>
  <si>
    <t>Class</t>
  </si>
  <si>
    <t>Test Support</t>
  </si>
  <si>
    <t>Mean Accuracy / Recall</t>
  </si>
  <si>
    <t>Seed Std Dev</t>
  </si>
  <si>
    <t>Change vs FP32 Baseline (pp)</t>
  </si>
  <si>
    <t>Class Type</t>
  </si>
  <si>
    <t>General Dry</t>
  </si>
  <si>
    <t>Common class</t>
  </si>
  <si>
    <t>Retail Pallet</t>
  </si>
  <si>
    <t>Refrigerated</t>
  </si>
  <si>
    <t>Fragile / High-Value</t>
  </si>
  <si>
    <t>Hazmat</t>
  </si>
  <si>
    <t>Rare class (4% of data)</t>
  </si>
  <si>
    <t>Oversize / Heavy Haul</t>
  </si>
  <si>
    <t>Seed Std Dev is the sample standard deviation (pp) over three seeds. Compare each change with it, and with the 0.83 pp size of one rare-class document, before reading a difference as real.</t>
  </si>
  <si>
    <t>Source values per seed (correct documents / test support; click a cell to see the counts)</t>
  </si>
  <si>
    <t>Seed 0</t>
  </si>
  <si>
    <t>Seed 1</t>
  </si>
  <si>
    <t>Seed 2</t>
  </si>
  <si>
    <t>Source</t>
  </si>
  <si>
    <t>bol_experiment_cuda_run_v4_benchmark.ipynb, cell 14</t>
  </si>
  <si>
    <t>bol_experiment_cuda_run_v4_benchmark.ipynb, cell 23</t>
  </si>
  <si>
    <t>bol_experiment_cuda_run_v4_benchmark.ipynb, cell 31</t>
  </si>
  <si>
    <t>bol_experiment_cuda_run_v4_benchmark.ipynb, cell 38</t>
  </si>
  <si>
    <t>Raw Benchmark Runs: every timed trial</t>
  </si>
  <si>
    <t>Source: results/benchmark_raw_latency.csv. Batch size 1, sequence length 128, 15 untimed warm-ups then 100 timed trials per run, CUDA synchronize before and after each forward. Run 2 is the baseline repeat used for the stability check.</t>
  </si>
  <si>
    <t>Benchmark Run</t>
  </si>
  <si>
    <t>Trial Number</t>
  </si>
  <si>
    <t>Test Example Index</t>
  </si>
  <si>
    <t>Latency ms</t>
  </si>
  <si>
    <t>Document Position (0-99)</t>
  </si>
  <si>
    <t>Benchmark Detail</t>
  </si>
  <si>
    <t>Tesla T4 (compute capability 7.5), batch size 1, sequence length 128, seed-0 models, 15 warm-up and 100 timed trials. Latency columns are formulas over the Raw Benchmark Runs sheet.</t>
  </si>
  <si>
    <t>p50 Latency ms</t>
  </si>
  <si>
    <t>p95 Latency ms</t>
  </si>
  <si>
    <t>Mean Latency ms</t>
  </si>
  <si>
    <t>Minimum Latency ms</t>
  </si>
  <si>
    <t>Maximum Latency ms</t>
  </si>
  <si>
    <t>Resident GPU Memory MB</t>
  </si>
  <si>
    <t>Peak GPU Memory MB (primary)</t>
  </si>
  <si>
    <t>Incremental Peak Memory MB</t>
  </si>
  <si>
    <t>Weight Storage MB</t>
  </si>
  <si>
    <t>Total Parameters</t>
  </si>
  <si>
    <t>Non-Embedding Parameters</t>
  </si>
  <si>
    <t>Background Allocated Before Load MB (diagnostic)</t>
  </si>
  <si>
    <t>Peak Minus Background MB (diagnostic)</t>
  </si>
  <si>
    <t>FP32 Baseline Transformer (repeat run for stability check)</t>
  </si>
  <si>
    <t>Baseline repeatability check (stability check only; Run 1 is the reported benchmark value)</t>
  </si>
  <si>
    <t>Run 1 (ms)</t>
  </si>
  <si>
    <t>Run 2 (ms)</t>
  </si>
  <si>
    <t>% Difference</t>
  </si>
  <si>
    <t>Threshold</t>
  </si>
  <si>
    <t>Within Threshold?</t>
  </si>
  <si>
    <t>p50 latency</t>
  </si>
  <si>
    <t>p95 latency</t>
  </si>
  <si>
    <t>Both baseline runs stayed within the predetermined 15% stability threshold (p50 differs by 5.47%, p95 by 8.91%), so the latency comparison is treated as final.</t>
  </si>
  <si>
    <t>Timing note: every run contains a few short bursts of trials at roughly 1.5 to 2 times its own median latency (more than 1.5x the run median: baseline run 1 = 4 trials, linear attention = 3, INT8 = 1, student = 3, baseline run 2 = 5). They appear in consecutive trials, which is typical of transient interference on shared hardware. They barely move p50 (the baseline run 1 p50 changes from 5.228 to 5.215 ms if they are excluded) but do move p95 (baseline run 1: 6.532 to 5.760 ms). No trial was removed from any reported number; this is a sensitivity note only. p50 is the more robust comparison metric.</t>
  </si>
  <si>
    <t>Memory note: Resident, Peak and Incremental values are PyTorch GPU allocator memory (1 MB = 1,048,576 bytes); they do not include the CUDA context or other driver-level memory. A constant 65.0625 MB was already allocated before each model was loaded (identical for all five runs; its origin was not isolated, though it is consistent with library workspaces). Peak GPU Memory is the primary deployment-memory metric. Resident and Incremental Peak are supporting diagnostics, and the two background-subtracted columns are diagnostic only: they isolate the model-plus-inference footprint and are not a deployment-memory figure.</t>
  </si>
  <si>
    <t>Scaling Law: compute estimates</t>
  </si>
  <si>
    <t>N = non-embedding parameters (total parameters shown for context only). Counted quantities come from the experiment; every FLOP figure and every projection is a formula-based estimate, not a measurement.</t>
  </si>
  <si>
    <t>MEASURED / COUNTED</t>
  </si>
  <si>
    <t>FORMULA-BASED ESTIMATES (6ND and D = 20N): NOT MEASUREMENTS</t>
  </si>
  <si>
    <t>Non-Embedding Parameters N</t>
  </si>
  <si>
    <t>Actual Training Tokens</t>
  </si>
  <si>
    <t>Estimated Actual Training FLOPs (6ND)</t>
  </si>
  <si>
    <t>Compute-Optimal Tokens (D = 20N)</t>
  </si>
  <si>
    <t>Compute-Optimal Training FLOPs (C = 6ND)</t>
  </si>
  <si>
    <t>10x Non-Embedding Parameters</t>
  </si>
  <si>
    <t>10x Compute-Optimal Tokens</t>
  </si>
  <si>
    <t>10x Training FLOPs</t>
  </si>
  <si>
    <t>Compute Multiple</t>
  </si>
  <si>
    <t>Notes</t>
  </si>
  <si>
    <t>Actual D = padded positions (10,752,000); actual D is 1.01x the compute-optimal D (counts 8 repeated epochs).</t>
  </si>
  <si>
    <t>Same N and same training workload as the baseline, so identical 6ND values. 6ND does not capture linear attention's different attention cost.</t>
  </si>
  <si>
    <t>Post-training INT8 quantization of the trained FP32 baseline: training compute is the baseline's own (not reduced by INT8 storage). Quantization changes the inference representation, not the original training compute. Projection rows refer to the underlying baseline architecture.</t>
  </si>
  <si>
    <t>Student's own 6ND only. Excludes teacher inference for soft targets and the cost of training the teacher first (see the baseline row). Actual D is 7.97x its compute-optimal D.</t>
  </si>
  <si>
    <t>Readable view (same estimates; TFLOP = 10^12, PFLOP = 10^15, GFLOP = 10^9 floating-point operations)</t>
  </si>
  <si>
    <t>Actual Training FLOPs</t>
  </si>
  <si>
    <t>Compute-Optimal FLOPs</t>
  </si>
  <si>
    <t>Actual / Compute-Optimal Tokens</t>
  </si>
  <si>
    <t>34.25 TFLOP</t>
  </si>
  <si>
    <t>33.83 TFLOP</t>
  </si>
  <si>
    <t>3.38 PFLOP</t>
  </si>
  <si>
    <t>1.01x</t>
  </si>
  <si>
    <t>4.35 TFLOP</t>
  </si>
  <si>
    <t>546.13 GFLOP</t>
  </si>
  <si>
    <t>54.61 TFLOP</t>
  </si>
  <si>
    <t>7.97x</t>
  </si>
  <si>
    <t>Method and notes</t>
  </si>
  <si>
    <t>Training workload (identical for the baseline, linear-attention and student runs): 10,500 documents x 128 positions x 8 epochs = 10,752,000 padded sequence positions. D uses padded positions because the GPU computed on all 128 positions of every document; non-padding tokens would be 3,661,328 (2.94x fewer). D counts 8 repeated epochs, not unique tokens.</t>
  </si>
  <si>
    <t>Post-training INT8 does not reduce the original baseline training FLOPs: the INT8 model was produced from the already trained FP32 baseline, so its row shows the baseline's training compute. Quantization changes the inference representation, not the original training compute.</t>
  </si>
  <si>
    <t>The distilled student's basic 6ND calculation does not include teacher-inference cost. Teacher-logit caching for the student (one forward pass over train and validation documents per seed) was measured at 1.2, 1.2, 1.3 s for seeds 0, 1, 2 (printed to one decimal); a formula-based forward-only estimate is 1.631e+12 FLOPs per seed. Neither is added to the student's 6ND figure, and the student also required the baseline teacher to be trained first.</t>
  </si>
  <si>
    <t>The 10x projection is an estimate (N_10x = 10N, D_10x = 20 N_10x, C_10x = 6 N_10x D_10x). The compute multiple is calculated as C_10x / C_compute-optimal, and it is about 100x because parameters and the compute-optimal token budget both grow 10x. These are not measured training runs.</t>
  </si>
  <si>
    <t>Scaling may change GPU utilization, and larger matrix multiplications may use the hardware more efficiently, so FLOPs would not translate linearly into wall-clock time.</t>
  </si>
  <si>
    <t>A larger model may exceed single-GPU memory. Gradient checkpointing or smaller batches could then change the wall-clock cost.</t>
  </si>
  <si>
    <t>Longer sequence lengths would change attention cost, which 6ND does not model. Multi-GPU scaling would introduce communication overhead.</t>
  </si>
  <si>
    <t>The 20-tokens-per-parameter relationship is a rule of thumb and may not be optimal for this synthetic classification workload. 6ND also ignores attention-score FLOPs, embeddings, LayerNorm, the optimizer and the per-epoch validation passes.</t>
  </si>
  <si>
    <t>Scaling-law figures are not used to rank the models.</t>
  </si>
  <si>
    <t>Provenance: results/scaling_law_results.csv and .json, produced by the notebook's Part 6 cell from the counts printed in the executed notebooks (parameter counts, 10,500 training documents, 8 epochs, length 128). The cells in this sheet are formulas that reproduce the CSV values exactly.</t>
  </si>
  <si>
    <t>Brightline Logistics Model Deployment Trade-Off Board</t>
  </si>
  <si>
    <t>Measured on one Google Colab Tesla T4 using a controlled synthetic bill-of-lading classification workload</t>
  </si>
  <si>
    <t>Quality = mean of 3 seeds on 3,000 test documents. Latency and memory = seed-0 model, batch size 1, sequence length 128, 100 timed trials. pp = percentage points. Prepared for Sandra Whitfield, VP Engineering.</t>
  </si>
  <si>
    <t>Precision / Compression</t>
  </si>
  <si>
    <t>Parameter Reduction vs Baseline</t>
  </si>
  <si>
    <t>Storage Reduction vs Baseline</t>
  </si>
  <si>
    <t>Overall Accuracy Mean</t>
  </si>
  <si>
    <t>Accuracy Std Dev</t>
  </si>
  <si>
    <t>Accuracy Change vs Baseline</t>
  </si>
  <si>
    <t>Rare-Class Std Dev</t>
  </si>
  <si>
    <t>Rare-Class Change vs Baseline</t>
  </si>
  <si>
    <t>p95 Change vs Baseline</t>
  </si>
  <si>
    <t>Peak GPU Memory MB</t>
  </si>
  <si>
    <t>Peak Memory Change vs Baseline</t>
  </si>
  <si>
    <t>Main Advantage</t>
  </si>
  <si>
    <t>Main Trade-off</t>
  </si>
  <si>
    <t>Residual Risk</t>
  </si>
  <si>
    <t>Final Rank</t>
  </si>
  <si>
    <t>FP32 (reference model)</t>
  </si>
  <si>
    <t>Simplest, best-understood reference: no compression, custom attention or distillation. 97.63% overall accuracy at 5.23 ms p50.</t>
  </si>
  <si>
    <t>Largest weights (4.81 MB) and about twice the student's p95 latency (6.53 ms vs 3.37 ms).</t>
  </si>
  <si>
    <t>Rare-class recall varies 1.88 pp (std dev) across seeds; synthetic data only; one GPU type.</t>
  </si>
  <si>
    <t>FP32; linear (ELU+1) attention in place of softmax attention; same parameter count</t>
  </si>
  <si>
    <t>Highest mean overall accuracy (98.19%, +0.56 pp), above every baseline seed; rare-class recall similar to the baseline.</t>
  </si>
  <si>
    <t>Slower than the baseline at sequence length 128 (p95 +26.9%); no storage or peak-memory reduction.</t>
  </si>
  <si>
    <t>Accuracy edge is small (+0.56 pp); behavior at longer sequences was not tested; custom attention code to maintain.</t>
  </si>
  <si>
    <t>bitsandbytes INT8 on 16 hidden Linear layers; the 128 -&gt; 6 classification head, embeddings and LayerNorm stay FP32</t>
  </si>
  <si>
    <t>Weight storage 31.1% smaller (3.31 MB) with overall accuracy unchanged (97.64%).</t>
  </si>
  <si>
    <t>Slowest model on the T4: p95 +103.3% vs baseline; peak GPU memory only -2.0%; the 6-class head could not be quantized.</t>
  </si>
  <si>
    <t>bitsandbytes INT8 targets CUDA GPUs and failed on the 128 -&gt; 6 head, so a tablet runtime would need a different path; no speed benefit was shown even on the T4.</t>
  </si>
  <si>
    <t>FP32; distilled student (d=64, 2 layers, 2 heads) taught by the FP32 baseline</t>
  </si>
  <si>
    <t>Smallest and fastest: weights 65.7% smaller, p95 latency 48.3% lower, peak GPU memory 7.8% lower, with overall accuracy not lower than the baseline (97.98%).</t>
  </si>
  <si>
    <t>Mean rare-class macro recall 0.97 pp lower than baseline (95.56% vs 96.53%); needs a trained teacher and a distillation step.</t>
  </si>
  <si>
    <t>Possible rare-class trade-off: the decline is smaller than the baseline's seed spread, so it is not confirmed, but all three paired seeds were lower (7 more missed rare documents out of 720 across seeds).</t>
  </si>
  <si>
    <t>How to read this board</t>
  </si>
  <si>
    <t>Green fill marks the best value in a column (highest accuracy and recall; lowest storage, latency and memory). It is a guide, not a ranking; see the Recommendation sheet.</t>
  </si>
  <si>
    <t>Differences smaller than the observed seed-to-seed spread should be read as similar. Within seed spread: FP32 Linear Attention (Hazmat Recall, Oversize / Heavy-Haul Recall, Rare-Class Macro Recall); Mixed-Precision INT8 Baseline (Overall Accuracy, Hazmat Recall, Oversize / Heavy-Haul Recall, Rare-Class Macro Recall); Distilled Student (Hazmat Recall, Oversize / Heavy-Haul Recall, Rare-Class Macro Recall). Larger than the seed spread (only 3 seeds, no significance test run): FP32 Linear Attention (Overall Accuracy 3.15x); Distilled Student (Overall Accuracy 1.21x). Details: Quality by Seed sheet.</t>
  </si>
  <si>
    <t>Rare classes (Hazmat, Oversize / Heavy Haul) have only 120 test documents each, so one document is 0.83 pp. The Distilled Student's rare-class macro recall is 0.97 pp lower than the baseline; see Per-Class Results for each class.</t>
  </si>
  <si>
    <t>Peak GPU Memory is PyTorch allocator memory and includes a constant 65.06 MB that was already allocated before any model was loaded, so differences between rows are smaller in percentage terms than the model sizes alone suggest. Details: Benchmark Detail sheet.</t>
  </si>
  <si>
    <t>Measured on a Tesla T4 GPU as a controlled proxy. Android tablet hardware and runtimes were not tested, and the data is synthetic.</t>
  </si>
  <si>
    <t>Recommended to ship: Distilled Student (Rank 1), subject to checking rare-class recall on real Brightline documents. Full reasoning: Recommendation sheet.</t>
  </si>
  <si>
    <t>Methodology and Known Limitations</t>
  </si>
  <si>
    <t>A concise record of how the results were produced. Source files are named for every item.</t>
  </si>
  <si>
    <t>Dataset</t>
  </si>
  <si>
    <t>Synthetic bill-of-lading text generated by a seeded script (data seed 42), not Brightline production data.</t>
  </si>
  <si>
    <t>bol_experiment.ipynb, Part 1 data cell</t>
  </si>
  <si>
    <t>Size and split</t>
  </si>
  <si>
    <t>15,000 documents: 10,500 train / 1,500 validation / 3,000 test (70% / 10% / 20%), stratified by class.</t>
  </si>
  <si>
    <t>bol_experiment_cuda_run_v4_benchmark.ipynb, cell 5 output</t>
  </si>
  <si>
    <t>Classes</t>
  </si>
  <si>
    <t>Six: General Dry (34%), Retail Pallet (26%), Refrigerated (20%), Fragile / High-Value (12%), Hazmat (4%), Oversize / Heavy Haul (4%).</t>
  </si>
  <si>
    <t>Rare classes</t>
  </si>
  <si>
    <t>Hazmat and Oversize / Heavy Haul, 4% each. Test support 120 documents each; training counts 472 and 466.</t>
  </si>
  <si>
    <t>Training-only label noise</t>
  </si>
  <si>
    <t>3% of training labels were flipped to a different random class (307 of 10,500 = 2.92%). Validation and test labels are clean (verified by regenerating the data without noise).</t>
  </si>
  <si>
    <t>bol_experiment_cuda_run_v4_benchmark.ipynb, cell 5 and verification-check outputs</t>
  </si>
  <si>
    <t>Input-level corruption (train, validation and test)</t>
  </si>
  <si>
    <t>OCR character substitutions and drops (per-document error rate 0%, 1%, 3% or 6%), missing class-specific fields (25% each), missing commodity line (5%), conflicting instruction borrowed from another class (15%), truncated values (6%), irregular spacing. Corruption never changes the label.</t>
  </si>
  <si>
    <t>bol_experiment.ipynb, Part 1 constants</t>
  </si>
  <si>
    <t>Dataset SHA-256</t>
  </si>
  <si>
    <t>e74c4242ce78d13fec8ad56ebe0647c6598766c815068a00ccb2369c6307d610</t>
  </si>
  <si>
    <t>bol_experiment_cuda_run_v4_benchmark.ipynb, cell 5 output; verified identical in every configuration run</t>
  </si>
  <si>
    <t>Tokenizer and models</t>
  </si>
  <si>
    <t>Tokenizer</t>
  </si>
  <si>
    <t>Lowercase; split into alphanumeric runs and single punctuation marks; vocabulary built from training texts only (minimum frequency 2); padding id 0, unknown id 1.</t>
  </si>
  <si>
    <t>bol_experiment.ipynb, Part 1 tokenizer cell</t>
  </si>
  <si>
    <t>Vocabulary and length</t>
  </si>
  <si>
    <t>Vocabulary size 5,565. Fixed sequence length 128. Mean document length 43.6 tokens (maximum 72), nothing truncated, so about 66% of positions are padding. Unknown-token rate 6.4% on test.</t>
  </si>
  <si>
    <t>bol_experiment_cuda_run_v4_benchmark.ipynb, cell 7 output</t>
  </si>
  <si>
    <t>Token + learned position embeddings, 4 pre-LN blocks (d_model 128, 4 heads, feed-forward 256, GELU), padding-aware softmax attention, mean pooling over non-padding tokens, 6-class linear head. 1,259,654 parameters (530,950 non-embedding).</t>
  </si>
  <si>
    <t>bol_experiment.ipynb, Part 1 model cell</t>
  </si>
  <si>
    <t>Same network with softmax attention replaced by non-causal linear attention using phi(x) = ELU(x) + 1; padded keys and values are zeroed; no T x T matrix is built; identical parameter count (1,259,654). Verified against an explicit masked reference and a padding-invariance test.</t>
  </si>
  <si>
    <t>bol_experiment.ipynb, Part 2</t>
  </si>
  <si>
    <t>INT8 method</t>
  </si>
  <si>
    <t>Post-training INT8 with bitsandbytes LLM.int8 (Linear8bitLt, outlier threshold 6.0, no calibration data) applied to the trained FP32 baseline checkpoints. 16 hidden Linear layers are INT8 (99.85% of Linear weights); activations are cast to FP16 inside those layers.</t>
  </si>
  <si>
    <t>bol_experiment.ipynb, Part 3</t>
  </si>
  <si>
    <t>FP32 classification-head limitation</t>
  </si>
  <si>
    <t>The six-output head (128 -&gt; 6) stayed FP32 because the bitsandbytes INT8 path failed for that shape on the Tesla T4 with a cuBLASLt runtime error (ldc = 6). The 128 -&gt; 128, 128 -&gt; 256, 128 -&gt; 384 and 256 -&gt; 128 shapes passed. The model is therefore a mixed-precision configuration, not fully INT8; embeddings and LayerNorm also stay FP32.</t>
  </si>
  <si>
    <t>bol_experiment_cuda_run_v4_benchmark.ipynb, cell 28 output</t>
  </si>
  <si>
    <t>Distilled student</t>
  </si>
  <si>
    <t>d_model 64, 2 layers, 2 heads, feed-forward 128; same vocabulary, tokenizer, length 128, pre-LN structure, padding-aware attention and pooling. 431,814 parameters (67,462 non-embedding).</t>
  </si>
  <si>
    <t>bol_experiment_cuda_run_v4_benchmark.ipynb, cell 34 output</t>
  </si>
  <si>
    <t>Knowledge distillation</t>
  </si>
  <si>
    <t>Teacher = the FP32 baseline of the same seed. Loss = 0.5 x cross-entropy(student, noisy training labels) + 0.5 x T^2 x KL(teacher || student), T = 2, KL with batchmean reduction on temperature-softened distributions. Teacher logits were cached for train and validation only, with the teacher in eval mode, no gradients; the test set was never used for distillation.</t>
  </si>
  <si>
    <t>bol_experiment.ipynb, Part 4</t>
  </si>
  <si>
    <t>Training protocol</t>
  </si>
  <si>
    <t>Optimizer and schedule</t>
  </si>
  <si>
    <t>AdamW, learning rate 1e-3, weight decay 0.01, 100 warm-up steps then linear decay to zero, batch size 64, 8 epochs, FP32, plain cross-entropy (no class weights).</t>
  </si>
  <si>
    <t>bol_experiment.ipynb, Part 1 training cell</t>
  </si>
  <si>
    <t>Seeds</t>
  </si>
  <si>
    <t>Training seeds 0, 1, 2 for every trained model (INT8 is derived from each baseline seed). Dataset seed 42. Benchmark document-selection seed 2025.</t>
  </si>
  <si>
    <t>bol_experiment.ipynb</t>
  </si>
  <si>
    <t>Evaluation policy</t>
  </si>
  <si>
    <t>Final-epoch model is evaluated; validation accuracy is only monitored. The test set is evaluated once per model after training and never used for selection, calibration or distillation.</t>
  </si>
  <si>
    <t>bol_experiment.ipynb, training cells and verification checks</t>
  </si>
  <si>
    <t>Hardware and software</t>
  </si>
  <si>
    <t>GPU</t>
  </si>
  <si>
    <t>Tesla T4, compute capability 7.5, one Google Colab session.</t>
  </si>
  <si>
    <t>results/benchmark_meta.json</t>
  </si>
  <si>
    <t>Software</t>
  </si>
  <si>
    <t>PyTorch 2.11.0+cu130, CUDA 13.0, bitsandbytes 0.50.2, Python 3.13.15.</t>
  </si>
  <si>
    <t>Determinism</t>
  </si>
  <si>
    <t>Seeds fixed in Python, NumPy and PyTorch; cuDNN deterministic mode and torch.use_deterministic_algorithms(True, warn_only=True) requested. CUDA execution is not guaranteed to be bitwise deterministic: PyTorch warned that the softmax-attention backward pass uses a non-deterministic kernel, so exact GPU reruns may differ slightly.</t>
  </si>
  <si>
    <t>bol_experiment_cuda_run_v4_benchmark.ipynb, training cell warning output</t>
  </si>
  <si>
    <t>Benchmark protocol</t>
  </si>
  <si>
    <t>Workload</t>
  </si>
  <si>
    <t>Batch size 1, sequence length 128 (input shape 1 x 128), the same 100 test documents in the same order for every model (seeded index list, sha256 dd8d838a7ee2ee6d). model.eval(), torch.no_grad(), no autocast beyond what the INT8 layers do internally. Seed-0 models.</t>
  </si>
  <si>
    <t>Warm-up, trials, synchronization</t>
  </si>
  <si>
    <t>15 untimed warm-up forwards, then torch.cuda.synchronize(); 100 timed trials, each: synchronize, start time.perf_counter(), one forward pass, synchronize, stop. Model loading, tokenization, CPU-to-GPU transfer and warm-up were not timed. p50 and p95 use numpy percentile (linear interpolation).</t>
  </si>
  <si>
    <t>results/benchmark_raw_latency.csv, benchmark_meta.json</t>
  </si>
  <si>
    <t>Peak-memory method</t>
  </si>
  <si>
    <t>Before each model: previous model deleted, gc.collect(), torch.cuda.empty_cache(), synchronize. After loading the new model on CUDA: torch.cuda.reset_peak_memory_stats(), resident = torch.cuda.memory_allocated(), then warm-up and timed trials, then peak = torch.cuda.max_memory_allocated(). PyTorch allocator memory only; it excludes the CUDA context and driver memory. A constant 65.0625 MB was allocated before every model was loaded.</t>
  </si>
  <si>
    <t>results/benchmark_meta.json, benchmark_memory_diagnostics.csv</t>
  </si>
  <si>
    <t>Baseline repeatability test</t>
  </si>
  <si>
    <t>The FP32 baseline was benchmarked twice (first, and again after the other three models). p50 differed by 5.47% and p95 by 8.91% against a predetermined 15% threshold: both within the threshold.</t>
  </si>
  <si>
    <t>Why latency uses one seed</t>
  </si>
  <si>
    <t>Latency and memory use seed 0. Across seeds the architecture, tensor shapes, precision and execution path are unchanged, so repeated latency trials on one representative trained seed are used while seed-to-seed variation is measured for quality (three seeds).</t>
  </si>
  <si>
    <t>Benchmark design</t>
  </si>
  <si>
    <t>Known limitations</t>
  </si>
  <si>
    <t>Limitation 1</t>
  </si>
  <si>
    <t>Synthetic data may not represent real Brightline traffic, document layouts or error patterns.</t>
  </si>
  <si>
    <t>Limitation 2</t>
  </si>
  <si>
    <t>Only one GPU type was benchmarked (Tesla T4). Android tablet hardware and runtimes were not tested; bitsandbytes INT8 is a CUDA-GPU method.</t>
  </si>
  <si>
    <t>Limitation 3</t>
  </si>
  <si>
    <t>Shared Colab hardware can introduce timing variation. Short bursts of slower trials appeared in every run and mainly affect p95, which is why p50 is the more robust comparison.</t>
  </si>
  <si>
    <t>Limitation 4</t>
  </si>
  <si>
    <t>CUDA execution is not guaranteed to be bitwise deterministic.</t>
  </si>
  <si>
    <t>Limitation 5</t>
  </si>
  <si>
    <t>Sequence length was fixed at 128 (documents average about 44 tokens, so most positions are padding).</t>
  </si>
  <si>
    <t>Limitation 6</t>
  </si>
  <si>
    <t>Linear attention may have different relative performance at longer sequences; that was not measured.</t>
  </si>
  <si>
    <t>Limitation 7</t>
  </si>
  <si>
    <t>INT8 used a mixed-precision configuration because the six-output classification head failed on the tested bitsandbytes / cuBLASLt path.</t>
  </si>
  <si>
    <t>Limitation 8</t>
  </si>
  <si>
    <t>Rare classes had smaller test support (120 documents each), so rare-class results are noisier than overall accuracy.</t>
  </si>
  <si>
    <t>Limitation 9</t>
  </si>
  <si>
    <t>Scaling-law results are formula-based estimates, not measurements.</t>
  </si>
  <si>
    <t>Limitation 10</t>
  </si>
  <si>
    <t>Only three seeds were run and no statistical significance test was performed; standard deviations from three values are themselves uncertain.</t>
  </si>
  <si>
    <t>Limitation 11</t>
  </si>
  <si>
    <t>Memory figures are PyTorch allocator values and include a constant pre-existing allocation; they are not total GPU or device memory.</t>
  </si>
  <si>
    <t>Limitation 12</t>
  </si>
  <si>
    <t>The distilled student depends on a trained teacher; teacher training and teacher-inference cost are not part of the student's own 6ND estimate.</t>
  </si>
  <si>
    <t>Limitation 13</t>
  </si>
  <si>
    <t>Per-seed quality values were read from the 4-decimal tables printed in the executed notebook and converted to exact fractions (correct documents / support); they reproduce the full-precision means and standard deviations in benchmark_summary.csv. The original per-seed JSON files from the Colab session were not available in this workspace.</t>
  </si>
  <si>
    <t>Recommendation</t>
  </si>
  <si>
    <t>Evidence-based qualitative ranking. No hidden weighted score is used. Differences inside the observed seed variation are described as similar, not as wins or losses.</t>
  </si>
  <si>
    <t>Ranking</t>
  </si>
  <si>
    <t>Rank</t>
  </si>
  <si>
    <t>Why it ranks here</t>
  </si>
  <si>
    <t>What Brightline gains</t>
  </si>
  <si>
    <t>What Brightline gives up</t>
  </si>
  <si>
    <t>Residual risk</t>
  </si>
  <si>
    <t>Best on every efficiency measure: p50 -45.6%, p95 -48.3%, peak GPU memory -7.8%, weight storage -65.7%, parameters -65.7% versus the baseline, with overall accuracy not lower (97.98% vs 97.63%, +0.34 pp). Its rare-class macro recall is 0.97 pp lower, but that gap is 0.52 of the larger seed spread, so it is possible but not confirmed.</t>
  </si>
  <si>
    <t>The smallest and fastest model, with headroom for slower tablet hardware and the same architecture family as the baseline (no special runtime).</t>
  </si>
  <si>
    <t>About one percentage point of mean rare-class macro recall (hazmat 93.9% vs 95.0%); that is 7 more missed rare documents out of 720 across three seeds. It also needs a trained teacher and a distillation step.</t>
  </si>
  <si>
    <t>Rare-class (hazmat, oversize / heavy-haul) performance on real Brightline documents is unverified; the measured decline sits inside seed variation, but every paired seed was lower. Synthetic data, one GPU type, 120 test documents per rare class.</t>
  </si>
  <si>
    <t>The reference configuration: simplest and established, with similar overall accuracy (97.63%). It ranks above Linear Attention and INT8 because it is faster than both while their quality is similar to or only slightly better than its own; it ranks below the student because it needs about 2.9x the weight storage and 1.9x the p95 latency for no measured accuracy advantage.</t>
  </si>
  <si>
    <t>Simple, established behavior with no compression, custom attention or distillation; the natural fallback if rare-class validation of the student fails.</t>
  </si>
  <si>
    <t>Larger weights (4.81 MB), higher p95 latency (6.53 ms) and higher peak GPU memory (75.40 MB, tied with Linear Attention) than the student.</t>
  </si>
  <si>
    <t>Same synthetic-data and rare-class sampling limits; its rare-class recall varies by 1.88 pp (std dev) across seeds.</t>
  </si>
  <si>
    <t>Highest mean overall accuracy (98.19%, +0.56 pp; above every baseline seed, 3.1x the larger seed spread). But at sequence length 128 it was slower than the baseline (p50 +32.6%, p95 +26.9%) and did not reduce memory or storage; rare-class recall is similar within seed variation. Ranks 2 and 3 are a close judgment: Linear Attention is the better choice only if a half-point of accuracy is worth about a quarter more latency.</t>
  </si>
  <si>
    <t>The highest measured overall accuracy and an attention cost that grows linearly with length (benefit at longer sequences was not tested).</t>
  </si>
  <si>
    <t>About 1.8 ms more p95 latency than the baseline and no savings in weights (4.81 MB) or peak memory.</t>
  </si>
  <si>
    <t>Behavior at longer sequences was not measured; custom attention code to maintain; the accuracy edge is small and rare-class results did not improve beyond seed variation.</t>
  </si>
  <si>
    <t>Accuracy is unchanged (97.64%, +0.01 pp) and weights are 31.1% smaller, but it was the slowest model on the T4 (p50 +119.5%, p95 +103.3%) and peak GPU memory fell only 2.0%. The storage gain is limited because embeddings and the head stay FP32.</t>
  </si>
  <si>
    <t>A smaller weight file (3.31 MB) with no accuracy loss.</t>
  </si>
  <si>
    <t>More than double the baseline's latency; a mixed-precision configuration because the 6-class head could not run in INT8; a dependency on bitsandbytes.</t>
  </si>
  <si>
    <t>bitsandbytes INT8 is a CUDA-GPU path; Android tablet inference would need a different runtime, and the speed benefit was not demonstrated even on the T4.</t>
  </si>
  <si>
    <t>Final recommendation for Sandra</t>
  </si>
  <si>
    <t>Ship the Distilled Student: on the Tesla T4 it cut model weight storage by 65.7% and p95 latency by 48.3% versus the FP32 baseline while overall accuracy stayed similar (97.98% vs 97.63%, a small measured difference). The main residual risk Sandra is accepting is a possible rare-class trade-off, because mean rare-class macro recall was 95.56% vs 96.53% (about one point lower, smaller than the baseline's seed-to-seed spread and therefore not confirmed). Before full rollout, check hazmat and oversize / heavy-haul recall on real Brightline documents and keep the FP32 baseline as the fallback.</t>
  </si>
  <si>
    <t>Evidence by criterion (values link to the Trade-off Board and Quality by Seed sheets; no weights are applied)</t>
  </si>
  <si>
    <t>Criterion</t>
  </si>
  <si>
    <t>Overall accuracy mean</t>
  </si>
  <si>
    <t>Linear Attention highest; the others are within about half a point of one another (see seed-spread rows).</t>
  </si>
  <si>
    <t>Rare-class macro recall</t>
  </si>
  <si>
    <t>Student lowest; the gap to the baseline is smaller than the baseline's seed spread.</t>
  </si>
  <si>
    <t>p50 latency ms</t>
  </si>
  <si>
    <t>Student fastest; INT8 slowest.</t>
  </si>
  <si>
    <t>p95 latency ms</t>
  </si>
  <si>
    <t>Same ordering as p50; p95 is more sensitive to transient timing spikes.</t>
  </si>
  <si>
    <t>Peak GPU memory MB</t>
  </si>
  <si>
    <t>Includes a constant pre-existing allocation; the spread between rows is small.</t>
  </si>
  <si>
    <t>Weight storage MB</t>
  </si>
  <si>
    <t>Student smallest; INT8 limited by FP32 embeddings.</t>
  </si>
  <si>
    <t>Total parameters</t>
  </si>
  <si>
    <t>Quantization and linear attention do not change the parameter count.</t>
  </si>
  <si>
    <t>Overall accuracy difference vs baseline / larger seed std</t>
  </si>
  <si>
    <t>reference</t>
  </si>
  <si>
    <t>Above 1.00 = larger than the seed spread (3 seeds, not a significance test).</t>
  </si>
  <si>
    <t>Rare-class recall difference vs baseline / larger seed std</t>
  </si>
  <si>
    <t>Below 1.00 = smaller than the seed spread: treat as similar, but keep watching rare classes.</t>
  </si>
  <si>
    <t>Implementation complexity and limitations</t>
  </si>
  <si>
    <t>Simplest; no extra dependencies.</t>
  </si>
  <si>
    <t>Custom attention code; longer-sequence behavior untested.</t>
  </si>
  <si>
    <t>bitsandbytes dependency; head must stay FP32; CUDA-GPU only.</t>
  </si>
  <si>
    <t>Needs a trained teacher and a distillation step.</t>
  </si>
  <si>
    <t>Qualitative; see Methodology for the INT8 head limitation.</t>
  </si>
  <si>
    <t>Results to treat cautiously (difference from the baseline is smaller than the observed seed spread)</t>
  </si>
  <si>
    <t>FP32 Linear Attention, Hazmat Recall: mean difference +0.00 pp vs baseline, 0.00 of the larger seed std dev; per-seed paired differences +1.67, +0.00, -1.67 pp.</t>
  </si>
  <si>
    <t>FP32 Linear Attention, Oversize / Heavy-Haul Recall: mean difference +0.28 pp vs baseline, 0.14 of the larger seed std dev; per-seed paired differences +1.67, -0.83, +0.00 pp.</t>
  </si>
  <si>
    <t>FP32 Linear Attention, Rare-Class Macro Recall: mean difference +0.14 pp vs baseline, 0.07 of the larger seed std dev; per-seed paired differences +1.67, -0.42, -0.83 pp.</t>
  </si>
  <si>
    <t>Mixed-Precision INT8 Baseline, Overall Accuracy: mean difference +0.01 pp vs baseline, 0.06 of the larger seed std dev; per-seed paired differences +0.03, +0.03, -0.03 pp.</t>
  </si>
  <si>
    <t>Mixed-Precision INT8 Baseline, Hazmat Recall: mean difference +0.28 pp vs baseline, 0.13 of the larger seed std dev; per-seed paired differences +0.00, +0.83, +0.00 pp.</t>
  </si>
  <si>
    <t>Mixed-Precision INT8 Baseline, Oversize / Heavy-Haul Recall: mean difference +0.00 pp vs baseline, 0.00 of the larger seed std dev; per-seed paired differences +0.00, +0.00, +0.00 pp.</t>
  </si>
  <si>
    <t>Mixed-Precision INT8 Baseline, Rare-Class Macro Recall: mean difference +0.14 pp vs baseline, 0.07 of the larger seed std dev; per-seed paired differences +0.00, +0.42, +0.00 pp.</t>
  </si>
  <si>
    <t>Distilled Student, Hazmat Recall: mean difference -1.11 pp vs baseline, 0.38 of the larger seed std dev; per-seed paired differences -2.50, +0.00, -0.83 pp.</t>
  </si>
  <si>
    <t>Distilled Student, Oversize / Heavy-Haul Recall: mean difference -0.83 pp vs baseline, 0.43 of the larger seed std dev; per-seed paired differences +1.67, -2.50, -1.67 pp.</t>
  </si>
  <si>
    <t>Distilled Student, Rare-Class Macro Recall: mean difference -0.97 pp vs baseline, 0.52 of the larger seed std dev; per-seed paired differences -0.42, -1.25, -1.25 pp.</t>
  </si>
  <si>
    <t>How strongly to read these results</t>
  </si>
  <si>
    <t>No statistical significance test was run. With three seeds, wording such as 'similar within observed seed variation', 'small measured difference' and 'possible rare-class trade-off' is descriptive only.</t>
  </si>
  <si>
    <t>Two comparisons exceed the seed spread (Linear Attention overall accuracy, and the Student's overall accuracy at about 1.2x), but both are small (about half a percentage point or less) and rest on three seeds.</t>
  </si>
  <si>
    <t>All timing comes from one Colab Tesla T4 and one seed-0 model per configuration; Android tablet performance was not measured.</t>
  </si>
  <si>
    <t>Assignment coverage checklist (computed when the workbook was built)</t>
  </si>
  <si>
    <t>Requirement</t>
  </si>
  <si>
    <t>Where in this workbook</t>
  </si>
  <si>
    <t>Status</t>
  </si>
  <si>
    <t>Four configurations: baseline, architecture variant, quantized, distilled student</t>
  </si>
  <si>
    <t>Trade-off Board</t>
  </si>
  <si>
    <t>Covered</t>
  </si>
  <si>
    <t>Measured overall accuracy (three seeds)</t>
  </si>
  <si>
    <t>Quality by Seed; Trade-off Board</t>
  </si>
  <si>
    <t>Per-class results (all six classes)</t>
  </si>
  <si>
    <t>Per-Class Results</t>
  </si>
  <si>
    <t>Rare-class results (Hazmat, Oversize / Heavy Haul)</t>
  </si>
  <si>
    <t>Quality by Seed; Per-Class Results</t>
  </si>
  <si>
    <t>Three-seed quality measurements for every configuration</t>
  </si>
  <si>
    <t>Quality by Seed</t>
  </si>
  <si>
    <t>p50 and p95 latency</t>
  </si>
  <si>
    <t>Trade-off Board; Benchmark Detail</t>
  </si>
  <si>
    <t>Peak GPU memory</t>
  </si>
  <si>
    <t>Repeated benchmark trials (100 per configuration, plus a baseline repeat)</t>
  </si>
  <si>
    <t>Raw Benchmark Runs</t>
  </si>
  <si>
    <t>Methodology notes</t>
  </si>
  <si>
    <t>Methodology</t>
  </si>
  <si>
    <t>Fixed-seed documentation</t>
  </si>
  <si>
    <t>Methodology: Seeds, Determinism</t>
  </si>
  <si>
    <t>Warm-up documentation (15 iterations)</t>
  </si>
  <si>
    <t>Methodology: Warm-up, trials, synchronization</t>
  </si>
  <si>
    <t>CUDA synchronization documentation</t>
  </si>
  <si>
    <t>Parameter counts (total and non-embedding)</t>
  </si>
  <si>
    <t>Trade-off Board; Benchmark Detail; Scaling Law</t>
  </si>
  <si>
    <t>Weight storage</t>
  </si>
  <si>
    <t>6ND compute estimates</t>
  </si>
  <si>
    <t>Scaling Law (labeled as estimates)</t>
  </si>
  <si>
    <t>20N compute-optimal token estimates</t>
  </si>
  <si>
    <t>10x scaling projection</t>
  </si>
  <si>
    <t>Ranked recommendation</t>
  </si>
  <si>
    <t>Residual risks</t>
  </si>
  <si>
    <t>Trade-off Board; Recommendation</t>
  </si>
  <si>
    <t>Quantization limitation detected and reported</t>
  </si>
  <si>
    <t>Methodology: FP32 classification-head limitation</t>
  </si>
  <si>
    <t>Baseline repeatability within the predetermined 15% threshold</t>
  </si>
</sst>
</file>

<file path=xl/styles.xml><?xml version="1.0" encoding="utf-8"?>
<styleSheet xmlns="http://schemas.openxmlformats.org/spreadsheetml/2006/main">
  <numFmts count="13">
    <numFmt numFmtId="164" formatCode="#,##0"/>
    <numFmt numFmtId="165" formatCode="0.0%"/>
    <numFmt numFmtId="166" formatCode="0.00"/>
    <numFmt numFmtId="167" formatCode="0.00%"/>
    <numFmt numFmtId="168" formatCode="0.00&quot; pp&quot;"/>
    <numFmt numFmtId="169" formatCode="+0.00&quot; pp&quot;;-0.00&quot; pp&quot;;0.00&quot; pp&quot;"/>
    <numFmt numFmtId="170" formatCode="+0.0%;-0.0%;0.0%"/>
    <numFmt numFmtId="171" formatCode="0.000&quot; pp&quot;"/>
    <numFmt numFmtId="172" formatCode="+0.00;-0.00;0.00"/>
    <numFmt numFmtId="173" formatCode="0.000"/>
    <numFmt numFmtId="174" formatCode="0%"/>
    <numFmt numFmtId="175" formatCode="0.000E+00"/>
    <numFmt numFmtId="176" formatCode="0.0000"/>
  </numFmts>
  <fonts count="18">
    <font>
      <sz val="11"/>
      <color theme="1"/>
      <name val="Calibri"/>
      <family val="2"/>
      <scheme val="minor"/>
    </font>
    <font>
      <b/>
      <sz val="24"/>
      <color rgb="FF1F3A5F"/>
      <name val="Calibri"/>
      <family val="2"/>
      <scheme val="minor"/>
    </font>
    <font>
      <i/>
      <sz val="13"/>
      <color rgb="FF595959"/>
      <name val="Calibri"/>
      <family val="2"/>
      <scheme val="minor"/>
    </font>
    <font>
      <sz val="10"/>
      <color rgb="FF595959"/>
      <name val="Calibri"/>
      <family val="2"/>
      <scheme val="minor"/>
    </font>
    <font>
      <b/>
      <sz val="11"/>
      <color rgb="FFFFFFFF"/>
      <name val="Calibri"/>
      <family val="2"/>
      <scheme val="minor"/>
    </font>
    <font>
      <b/>
      <sz val="12"/>
      <color theme="1"/>
      <name val="Calibri"/>
      <family val="2"/>
      <scheme val="minor"/>
    </font>
    <font>
      <b/>
      <sz val="11"/>
      <color theme="1"/>
      <name val="Calibri"/>
      <family val="2"/>
      <scheme val="minor"/>
    </font>
    <font>
      <b/>
      <sz val="18"/>
      <color rgb="FF1F3A5F"/>
      <name val="Calibri"/>
      <family val="2"/>
      <scheme val="minor"/>
    </font>
    <font>
      <b/>
      <sz val="12"/>
      <color rgb="FFFFFFFF"/>
      <name val="Calibri"/>
      <family val="2"/>
      <scheme val="minor"/>
    </font>
    <font>
      <sz val="11"/>
      <color rgb="FF262626"/>
      <name val="Calibri"/>
      <family val="2"/>
      <scheme val="minor"/>
    </font>
    <font>
      <b/>
      <sz val="13"/>
      <color rgb="FF1F3A5F"/>
      <name val="Calibri"/>
      <family val="2"/>
      <scheme val="minor"/>
    </font>
    <font>
      <b/>
      <sz val="20"/>
      <color rgb="FF1F3A5F"/>
      <name val="Calibri"/>
      <family val="2"/>
      <scheme val="minor"/>
    </font>
    <font>
      <i/>
      <sz val="11"/>
      <color rgb="FF595959"/>
      <name val="Calibri"/>
      <family val="2"/>
      <scheme val="minor"/>
    </font>
    <font>
      <sz val="11"/>
      <color theme="1"/>
      <name val="Calibri"/>
      <family val="2"/>
      <scheme val="minor"/>
    </font>
    <font>
      <b/>
      <sz val="11"/>
      <color rgb="FF1F3A5F"/>
      <name val="Calibri"/>
      <family val="2"/>
      <scheme val="minor"/>
    </font>
    <font>
      <b/>
      <sz val="11"/>
      <color rgb="FF7F6000"/>
      <name val="Calibri"/>
      <family val="2"/>
      <scheme val="minor"/>
    </font>
    <font>
      <b/>
      <sz val="13"/>
      <color theme="1"/>
      <name val="Calibri"/>
      <family val="2"/>
      <scheme val="minor"/>
    </font>
    <font>
      <sz val="11"/>
      <color rgb="FF595959"/>
      <name val="Calibri"/>
      <family val="2"/>
      <scheme val="minor"/>
    </font>
  </fonts>
  <fills count="9">
    <fill>
      <patternFill patternType="none"/>
    </fill>
    <fill>
      <patternFill patternType="gray125"/>
    </fill>
    <fill>
      <patternFill patternType="solid">
        <fgColor rgb="FF1F3A5F"/>
        <bgColor indexed="64"/>
      </patternFill>
    </fill>
    <fill>
      <patternFill patternType="solid">
        <fgColor rgb="FF44546A"/>
        <bgColor indexed="64"/>
      </patternFill>
    </fill>
    <fill>
      <patternFill patternType="solid">
        <fgColor rgb="FFE2F0D9"/>
        <bgColor indexed="64"/>
      </patternFill>
    </fill>
    <fill>
      <patternFill patternType="solid">
        <fgColor rgb="FFFFFFFF"/>
        <bgColor indexed="64"/>
      </patternFill>
    </fill>
    <fill>
      <patternFill patternType="solid">
        <fgColor rgb="FFF2F2F2"/>
        <bgColor indexed="64"/>
      </patternFill>
    </fill>
    <fill>
      <patternFill patternType="solid">
        <fgColor rgb="FFFFF2CC"/>
        <bgColor indexed="64"/>
      </patternFill>
    </fill>
    <fill>
      <patternFill patternType="solid">
        <fgColor rgb="FFDDEBF7"/>
        <bgColor indexed="64"/>
      </patternFill>
    </fill>
  </fills>
  <borders count="2">
    <border>
      <left/>
      <right/>
      <top/>
      <bottom/>
      <diagonal/>
    </border>
    <border>
      <left style="thin">
        <color rgb="FFBFC7D1"/>
      </left>
      <right style="thin">
        <color rgb="FFBFC7D1"/>
      </right>
      <top style="thin">
        <color rgb="FFBFC7D1"/>
      </top>
      <bottom style="thin">
        <color rgb="FFBFC7D1"/>
      </bottom>
      <diagonal/>
    </border>
  </borders>
  <cellStyleXfs count="1">
    <xf numFmtId="0" fontId="0" fillId="0" borderId="0"/>
  </cellStyleXfs>
  <cellXfs count="91">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xf>
    <xf numFmtId="165" fontId="0" fillId="0" borderId="1" xfId="0" applyNumberFormat="1" applyBorder="1" applyAlignment="1">
      <alignment vertical="top"/>
    </xf>
    <xf numFmtId="166" fontId="0" fillId="0" borderId="1" xfId="0" applyNumberFormat="1" applyBorder="1" applyAlignment="1">
      <alignment vertical="top"/>
    </xf>
    <xf numFmtId="167" fontId="6" fillId="0" borderId="1" xfId="0" applyNumberFormat="1" applyFon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66" fontId="6" fillId="0" borderId="1" xfId="0" applyNumberFormat="1" applyFont="1" applyBorder="1" applyAlignment="1">
      <alignment vertical="top"/>
    </xf>
    <xf numFmtId="170" fontId="0" fillId="0" borderId="1" xfId="0" applyNumberFormat="1" applyBorder="1" applyAlignment="1">
      <alignment vertical="top"/>
    </xf>
    <xf numFmtId="0" fontId="7" fillId="0" borderId="1" xfId="0" applyFont="1" applyBorder="1" applyAlignment="1">
      <alignment horizontal="center" vertical="center"/>
    </xf>
    <xf numFmtId="0" fontId="8" fillId="3" borderId="0" xfId="0" applyFont="1" applyFill="1" applyAlignment="1">
      <alignment vertical="center"/>
    </xf>
    <xf numFmtId="0" fontId="9" fillId="0" borderId="0" xfId="0" applyFont="1" applyAlignment="1">
      <alignment vertical="top" wrapText="1"/>
    </xf>
    <xf numFmtId="0" fontId="10" fillId="4" borderId="1" xfId="0" applyFont="1" applyFill="1" applyBorder="1" applyAlignment="1">
      <alignment vertical="center" wrapText="1"/>
    </xf>
    <xf numFmtId="0" fontId="11" fillId="0" borderId="0" xfId="0" applyFont="1" applyAlignment="1">
      <alignment vertical="center"/>
    </xf>
    <xf numFmtId="0" fontId="12" fillId="0" borderId="0" xfId="0" applyFont="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167" fontId="0" fillId="5" borderId="1" xfId="0" applyNumberFormat="1" applyFill="1" applyBorder="1" applyAlignment="1">
      <alignment vertical="center"/>
    </xf>
    <xf numFmtId="0" fontId="3" fillId="0" borderId="1" xfId="0" applyFont="1" applyBorder="1" applyAlignment="1">
      <alignment vertical="center"/>
    </xf>
    <xf numFmtId="0" fontId="0" fillId="6" borderId="1" xfId="0" applyFill="1" applyBorder="1" applyAlignment="1">
      <alignment vertical="center"/>
    </xf>
    <xf numFmtId="0" fontId="0" fillId="6" borderId="1" xfId="0" applyFill="1" applyBorder="1" applyAlignment="1">
      <alignment horizontal="center" vertical="center"/>
    </xf>
    <xf numFmtId="167" fontId="0" fillId="6" borderId="1" xfId="0" applyNumberFormat="1" applyFill="1" applyBorder="1" applyAlignment="1">
      <alignment vertical="center"/>
    </xf>
    <xf numFmtId="0" fontId="6" fillId="5" borderId="1" xfId="0" applyFont="1" applyFill="1" applyBorder="1" applyAlignment="1">
      <alignment vertical="center"/>
    </xf>
    <xf numFmtId="167" fontId="6" fillId="5" borderId="1" xfId="0" applyNumberFormat="1" applyFont="1" applyFill="1" applyBorder="1" applyAlignment="1">
      <alignment vertical="center"/>
    </xf>
    <xf numFmtId="0" fontId="13" fillId="5" borderId="1" xfId="0" applyFont="1" applyFill="1" applyBorder="1" applyAlignment="1">
      <alignment vertical="center"/>
    </xf>
    <xf numFmtId="171" fontId="0" fillId="5" borderId="1" xfId="0" applyNumberFormat="1" applyFill="1" applyBorder="1" applyAlignment="1">
      <alignment vertical="center"/>
    </xf>
    <xf numFmtId="0" fontId="6" fillId="6" borderId="1" xfId="0" applyFont="1" applyFill="1" applyBorder="1" applyAlignment="1">
      <alignment vertical="center"/>
    </xf>
    <xf numFmtId="167" fontId="6" fillId="6" borderId="1" xfId="0" applyNumberFormat="1" applyFont="1" applyFill="1" applyBorder="1" applyAlignment="1">
      <alignment vertical="center"/>
    </xf>
    <xf numFmtId="0" fontId="13" fillId="6" borderId="1" xfId="0" applyFont="1" applyFill="1" applyBorder="1" applyAlignment="1">
      <alignment vertical="center"/>
    </xf>
    <xf numFmtId="171" fontId="0" fillId="6" borderId="1" xfId="0" applyNumberFormat="1" applyFill="1" applyBorder="1" applyAlignment="1">
      <alignment vertical="center"/>
    </xf>
    <xf numFmtId="0" fontId="0" fillId="0" borderId="1" xfId="0" applyBorder="1" applyAlignment="1">
      <alignment vertical="center"/>
    </xf>
    <xf numFmtId="172" fontId="0" fillId="0" borderId="1" xfId="0" applyNumberFormat="1" applyBorder="1" applyAlignment="1">
      <alignment vertical="center"/>
    </xf>
    <xf numFmtId="166" fontId="0" fillId="0" borderId="1" xfId="0" applyNumberFormat="1" applyBorder="1" applyAlignment="1">
      <alignment vertical="center"/>
    </xf>
    <xf numFmtId="166" fontId="6" fillId="0" borderId="1" xfId="0" applyNumberFormat="1" applyFont="1" applyBorder="1" applyAlignment="1">
      <alignment vertical="center"/>
    </xf>
    <xf numFmtId="0" fontId="0" fillId="0" borderId="1" xfId="0" applyBorder="1" applyAlignment="1">
      <alignment vertical="center" wrapText="1"/>
    </xf>
    <xf numFmtId="164" fontId="0" fillId="5" borderId="1" xfId="0" applyNumberFormat="1" applyFill="1" applyBorder="1" applyAlignment="1">
      <alignment vertical="center"/>
    </xf>
    <xf numFmtId="167" fontId="13" fillId="5" borderId="1" xfId="0" applyNumberFormat="1" applyFont="1" applyFill="1" applyBorder="1" applyAlignment="1">
      <alignment vertical="center"/>
    </xf>
    <xf numFmtId="168" fontId="0" fillId="5" borderId="1" xfId="0" applyNumberFormat="1" applyFill="1" applyBorder="1" applyAlignment="1">
      <alignment vertical="center"/>
    </xf>
    <xf numFmtId="169" fontId="13" fillId="5" borderId="1" xfId="0" applyNumberFormat="1" applyFont="1" applyFill="1" applyBorder="1" applyAlignment="1">
      <alignment vertical="center"/>
    </xf>
    <xf numFmtId="0" fontId="6" fillId="7" borderId="1" xfId="0" applyFont="1" applyFill="1" applyBorder="1" applyAlignment="1">
      <alignment vertical="center"/>
    </xf>
    <xf numFmtId="164" fontId="0" fillId="7" borderId="1" xfId="0" applyNumberFormat="1" applyFill="1" applyBorder="1" applyAlignment="1">
      <alignment vertical="center"/>
    </xf>
    <xf numFmtId="167" fontId="6" fillId="7" borderId="1" xfId="0" applyNumberFormat="1" applyFont="1" applyFill="1" applyBorder="1" applyAlignment="1">
      <alignment vertical="center"/>
    </xf>
    <xf numFmtId="168" fontId="0" fillId="7" borderId="1" xfId="0" applyNumberFormat="1" applyFill="1" applyBorder="1" applyAlignment="1">
      <alignment vertical="center"/>
    </xf>
    <xf numFmtId="169" fontId="6" fillId="7" borderId="1" xfId="0" applyNumberFormat="1" applyFont="1" applyFill="1" applyBorder="1" applyAlignment="1">
      <alignment vertical="center"/>
    </xf>
    <xf numFmtId="164" fontId="0" fillId="6" borderId="1" xfId="0" applyNumberFormat="1" applyFill="1" applyBorder="1" applyAlignment="1">
      <alignment vertical="center"/>
    </xf>
    <xf numFmtId="167" fontId="13" fillId="6" borderId="1" xfId="0" applyNumberFormat="1" applyFont="1" applyFill="1" applyBorder="1" applyAlignment="1">
      <alignment vertical="center"/>
    </xf>
    <xf numFmtId="168" fontId="0" fillId="6" borderId="1" xfId="0" applyNumberFormat="1" applyFill="1" applyBorder="1" applyAlignment="1">
      <alignment vertical="center"/>
    </xf>
    <xf numFmtId="169" fontId="13" fillId="6" borderId="1" xfId="0" applyNumberFormat="1" applyFont="1" applyFill="1" applyBorder="1" applyAlignment="1">
      <alignment vertical="center"/>
    </xf>
    <xf numFmtId="0" fontId="3" fillId="5" borderId="1" xfId="0" applyFont="1" applyFill="1" applyBorder="1" applyAlignment="1">
      <alignment vertical="center"/>
    </xf>
    <xf numFmtId="0" fontId="0" fillId="7" borderId="1" xfId="0" applyFill="1" applyBorder="1" applyAlignment="1">
      <alignment vertical="center"/>
    </xf>
    <xf numFmtId="167" fontId="0" fillId="7" borderId="1" xfId="0" applyNumberFormat="1" applyFill="1" applyBorder="1" applyAlignment="1">
      <alignment vertical="center"/>
    </xf>
    <xf numFmtId="0" fontId="3" fillId="7" borderId="1" xfId="0" applyFont="1" applyFill="1" applyBorder="1" applyAlignment="1">
      <alignment vertical="center"/>
    </xf>
    <xf numFmtId="0" fontId="3" fillId="6" borderId="1" xfId="0" applyFont="1" applyFill="1" applyBorder="1" applyAlignment="1">
      <alignment vertical="center"/>
    </xf>
    <xf numFmtId="173" fontId="0" fillId="0" borderId="0" xfId="0" applyNumberFormat="1" applyAlignment="1">
      <alignment vertical="center"/>
    </xf>
    <xf numFmtId="0" fontId="0" fillId="5" borderId="1" xfId="0" applyFill="1" applyBorder="1" applyAlignment="1">
      <alignment vertical="center" wrapText="1"/>
    </xf>
    <xf numFmtId="173" fontId="0" fillId="5" borderId="1" xfId="0" applyNumberFormat="1" applyFill="1" applyBorder="1" applyAlignment="1">
      <alignment vertical="center"/>
    </xf>
    <xf numFmtId="173" fontId="6" fillId="5" borderId="1" xfId="0" applyNumberFormat="1" applyFont="1" applyFill="1" applyBorder="1" applyAlignment="1">
      <alignment vertical="center"/>
    </xf>
    <xf numFmtId="0" fontId="0" fillId="6" borderId="1" xfId="0" applyFill="1" applyBorder="1" applyAlignment="1">
      <alignment vertical="center" wrapText="1"/>
    </xf>
    <xf numFmtId="173" fontId="0" fillId="6" borderId="1" xfId="0" applyNumberFormat="1" applyFill="1" applyBorder="1" applyAlignment="1">
      <alignment vertical="center"/>
    </xf>
    <xf numFmtId="173" fontId="6" fillId="6" borderId="1" xfId="0" applyNumberFormat="1" applyFont="1" applyFill="1" applyBorder="1" applyAlignment="1">
      <alignment vertical="center"/>
    </xf>
    <xf numFmtId="0" fontId="6" fillId="0" borderId="1" xfId="0" applyFont="1" applyBorder="1" applyAlignment="1">
      <alignment vertical="center"/>
    </xf>
    <xf numFmtId="173" fontId="0" fillId="0" borderId="1" xfId="0" applyNumberFormat="1" applyBorder="1" applyAlignment="1">
      <alignment vertical="center"/>
    </xf>
    <xf numFmtId="167" fontId="6" fillId="0" borderId="1" xfId="0" applyNumberFormat="1" applyFont="1" applyBorder="1" applyAlignment="1">
      <alignment vertical="center"/>
    </xf>
    <xf numFmtId="174" fontId="0" fillId="0" borderId="1" xfId="0" applyNumberFormat="1" applyBorder="1" applyAlignment="1">
      <alignment vertical="center"/>
    </xf>
    <xf numFmtId="0" fontId="6" fillId="4" borderId="1" xfId="0" applyFont="1" applyFill="1" applyBorder="1" applyAlignment="1">
      <alignment vertical="top" wrapText="1"/>
    </xf>
    <xf numFmtId="0" fontId="14" fillId="8" borderId="1" xfId="0" applyFont="1" applyFill="1" applyBorder="1" applyAlignment="1">
      <alignment horizontal="center" vertical="center"/>
    </xf>
    <xf numFmtId="0" fontId="15" fillId="7" borderId="1" xfId="0" applyFont="1" applyFill="1" applyBorder="1" applyAlignment="1">
      <alignment horizontal="center" vertical="center"/>
    </xf>
    <xf numFmtId="0" fontId="6" fillId="0" borderId="1" xfId="0" applyFont="1" applyBorder="1" applyAlignment="1">
      <alignment vertical="center" wrapText="1"/>
    </xf>
    <xf numFmtId="164" fontId="0" fillId="0" borderId="1" xfId="0" applyNumberFormat="1" applyBorder="1" applyAlignment="1">
      <alignment vertical="center"/>
    </xf>
    <xf numFmtId="175" fontId="0" fillId="5" borderId="1" xfId="0" applyNumberFormat="1" applyFill="1" applyBorder="1" applyAlignment="1">
      <alignment vertical="center"/>
    </xf>
    <xf numFmtId="176" fontId="6" fillId="0" borderId="1" xfId="0" applyNumberFormat="1" applyFont="1" applyBorder="1" applyAlignment="1">
      <alignment vertical="center"/>
    </xf>
    <xf numFmtId="0" fontId="0" fillId="0" borderId="1" xfId="0" applyBorder="1" applyAlignment="1">
      <alignment horizontal="right" vertical="center"/>
    </xf>
    <xf numFmtId="0" fontId="6" fillId="0" borderId="1" xfId="0" applyFont="1" applyBorder="1" applyAlignment="1">
      <alignment vertical="top" wrapText="1"/>
    </xf>
    <xf numFmtId="0" fontId="3" fillId="0" borderId="1" xfId="0" applyFont="1" applyBorder="1" applyAlignment="1">
      <alignment vertical="top" wrapText="1"/>
    </xf>
    <xf numFmtId="0" fontId="6" fillId="4" borderId="1" xfId="0" applyFont="1" applyFill="1" applyBorder="1" applyAlignment="1">
      <alignment vertical="top"/>
    </xf>
    <xf numFmtId="0" fontId="7" fillId="4" borderId="1" xfId="0" applyFont="1" applyFill="1" applyBorder="1" applyAlignment="1">
      <alignment horizontal="center" vertical="top"/>
    </xf>
    <xf numFmtId="0" fontId="5" fillId="4" borderId="1" xfId="0" applyFont="1" applyFill="1" applyBorder="1" applyAlignment="1">
      <alignment vertical="top" wrapText="1"/>
    </xf>
    <xf numFmtId="0" fontId="7" fillId="5" borderId="1" xfId="0" applyFont="1" applyFill="1" applyBorder="1" applyAlignment="1">
      <alignment horizontal="center" vertical="top"/>
    </xf>
    <xf numFmtId="0" fontId="5" fillId="5" borderId="1" xfId="0" applyFont="1" applyFill="1" applyBorder="1" applyAlignment="1">
      <alignment vertical="top" wrapText="1"/>
    </xf>
    <xf numFmtId="0" fontId="16" fillId="4" borderId="1" xfId="0" applyFont="1" applyFill="1" applyBorder="1" applyAlignment="1">
      <alignment vertical="top" wrapText="1"/>
    </xf>
    <xf numFmtId="167" fontId="0" fillId="0" borderId="1" xfId="0" applyNumberFormat="1" applyBorder="1" applyAlignment="1">
      <alignment horizontal="center" vertical="center"/>
    </xf>
    <xf numFmtId="166"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17" fillId="0" borderId="1" xfId="0" applyFont="1"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1">
    <dxf>
      <font>
        <b/>
      </font>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U17"/>
  <sheetViews>
    <sheetView showGridLines="0" tabSelected="1" zoomScale="80" zoomScaleNormal="8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7.7109375" customWidth="1"/>
    <col min="2" max="2" width="29.7109375" customWidth="1"/>
    <col min="3" max="3" width="12.7109375" customWidth="1"/>
    <col min="4" max="4" width="13.7109375" customWidth="1"/>
    <col min="5" max="5" width="11.7109375" customWidth="1"/>
    <col min="6" max="6" width="12.7109375" customWidth="1"/>
    <col min="7" max="7" width="11.7109375" customWidth="1"/>
    <col min="8" max="8" width="10.7109375" customWidth="1"/>
    <col min="9" max="9" width="12.7109375" customWidth="1"/>
    <col min="10" max="10" width="11.7109375" customWidth="1"/>
    <col min="11" max="11" width="10.7109375" customWidth="1"/>
    <col min="12" max="12" width="12.7109375" customWidth="1"/>
    <col min="13" max="14" width="10.7109375" customWidth="1"/>
    <col min="15" max="16" width="11.7109375" customWidth="1"/>
    <col min="17" max="17" width="12.7109375" customWidth="1"/>
    <col min="18" max="20" width="33.7109375" customWidth="1"/>
    <col min="21" max="21" width="8.7109375" customWidth="1"/>
  </cols>
  <sheetData>
    <row r="1" spans="1:21" ht="38" customHeight="1">
      <c r="A1" s="1" t="s">
        <v>145</v>
      </c>
    </row>
    <row r="2" spans="1:21" ht="22" customHeight="1">
      <c r="A2" s="2" t="s">
        <v>146</v>
      </c>
    </row>
    <row r="3" spans="1:21">
      <c r="A3" s="3" t="s">
        <v>147</v>
      </c>
    </row>
    <row r="4" spans="1:21" ht="64" customHeight="1">
      <c r="A4" s="4" t="s">
        <v>2</v>
      </c>
      <c r="B4" s="4" t="s">
        <v>148</v>
      </c>
      <c r="C4" s="4" t="s">
        <v>88</v>
      </c>
      <c r="D4" s="4" t="s">
        <v>149</v>
      </c>
      <c r="E4" s="4" t="s">
        <v>87</v>
      </c>
      <c r="F4" s="4" t="s">
        <v>150</v>
      </c>
      <c r="G4" s="4" t="s">
        <v>151</v>
      </c>
      <c r="H4" s="4" t="s">
        <v>152</v>
      </c>
      <c r="I4" s="4" t="s">
        <v>153</v>
      </c>
      <c r="J4" s="4" t="s">
        <v>7</v>
      </c>
      <c r="K4" s="4" t="s">
        <v>154</v>
      </c>
      <c r="L4" s="4" t="s">
        <v>155</v>
      </c>
      <c r="M4" s="4" t="s">
        <v>79</v>
      </c>
      <c r="N4" s="4" t="s">
        <v>80</v>
      </c>
      <c r="O4" s="4" t="s">
        <v>156</v>
      </c>
      <c r="P4" s="4" t="s">
        <v>157</v>
      </c>
      <c r="Q4" s="4" t="s">
        <v>158</v>
      </c>
      <c r="R4" s="4" t="s">
        <v>159</v>
      </c>
      <c r="S4" s="4" t="s">
        <v>160</v>
      </c>
      <c r="T4" s="4" t="s">
        <v>161</v>
      </c>
      <c r="U4" s="4" t="s">
        <v>162</v>
      </c>
    </row>
    <row r="5" spans="1:21" ht="78" customHeight="1">
      <c r="A5" s="5" t="s">
        <v>9</v>
      </c>
      <c r="B5" s="6" t="s">
        <v>163</v>
      </c>
      <c r="C5" s="7">
        <f>'Benchmark Detail'!L5</f>
        <v>1259654</v>
      </c>
      <c r="D5" s="8">
        <f>1-C5/C5</f>
        <v>0.0</v>
      </c>
      <c r="E5" s="9">
        <f>'Benchmark Detail'!K5</f>
        <v>4.805198669433594</v>
      </c>
      <c r="F5" s="8">
        <f>1-E5/E5</f>
        <v>0.0</v>
      </c>
      <c r="G5" s="10">
        <f>'Quality by Seed'!C20</f>
        <v>0.9763333333333334</v>
      </c>
      <c r="H5" s="11">
        <f>'Quality by Seed'!C21</f>
        <v>0.17638342073764302</v>
      </c>
      <c r="I5" s="12">
        <f>(G5-G5)*100</f>
        <v>0.0</v>
      </c>
      <c r="J5" s="10">
        <f>'Quality by Seed'!F20</f>
        <v>0.9652777777777778</v>
      </c>
      <c r="K5" s="11">
        <f>'Quality by Seed'!F21</f>
        <v>1.8788540636762103</v>
      </c>
      <c r="L5" s="12">
        <f>(J5-J5)*100</f>
        <v>0.0</v>
      </c>
      <c r="M5" s="13">
        <f>'Benchmark Detail'!C5</f>
        <v>5.227630999968369</v>
      </c>
      <c r="N5" s="13">
        <f>'Benchmark Detail'!D5</f>
        <v>6.531877149961926</v>
      </c>
      <c r="O5" s="14">
        <f>N5/N5-1</f>
        <v>0.0</v>
      </c>
      <c r="P5" s="13">
        <f>'Benchmark Detail'!I5</f>
        <v>75.40283203125</v>
      </c>
      <c r="Q5" s="14">
        <f>P5/P5-1</f>
        <v>0.0</v>
      </c>
      <c r="R5" s="6" t="s">
        <v>164</v>
      </c>
      <c r="S5" s="6" t="s">
        <v>165</v>
      </c>
      <c r="T5" s="6" t="s">
        <v>166</v>
      </c>
      <c r="U5" s="15">
        <v>2</v>
      </c>
    </row>
    <row r="6" spans="1:21" ht="78" customHeight="1">
      <c r="A6" s="5" t="s">
        <v>13</v>
      </c>
      <c r="B6" s="6" t="s">
        <v>167</v>
      </c>
      <c r="C6" s="7">
        <f>'Benchmark Detail'!L6</f>
        <v>1259654</v>
      </c>
      <c r="D6" s="8">
        <f>1-C6/C5</f>
        <v>0.0</v>
      </c>
      <c r="E6" s="9">
        <f>'Benchmark Detail'!K6</f>
        <v>4.805198669433594</v>
      </c>
      <c r="F6" s="8">
        <f>1-E6/E5</f>
        <v>0.0</v>
      </c>
      <c r="G6" s="10">
        <f>'Quality by Seed'!C22</f>
        <v>0.9818888888888888</v>
      </c>
      <c r="H6" s="11">
        <f>'Quality by Seed'!C23</f>
        <v>0.1018350154434628</v>
      </c>
      <c r="I6" s="12">
        <f>(G6-G5)*100</f>
        <v>0.5555555555555425</v>
      </c>
      <c r="J6" s="10">
        <f>'Quality by Seed'!F22</f>
        <v>0.9666666666666667</v>
      </c>
      <c r="K6" s="11">
        <f>'Quality by Seed'!F23</f>
        <v>0.7216878364870425</v>
      </c>
      <c r="L6" s="12">
        <f>(J6-J5)*100</f>
        <v>0.1388888888888884</v>
      </c>
      <c r="M6" s="13">
        <f>'Benchmark Detail'!C6</f>
        <v>6.931631499980995</v>
      </c>
      <c r="N6" s="13">
        <f>'Benchmark Detail'!D6</f>
        <v>8.288925900012599</v>
      </c>
      <c r="O6" s="14">
        <f>N6/N5-1</f>
        <v>0.26899598839836014</v>
      </c>
      <c r="P6" s="13">
        <f>'Benchmark Detail'!I6</f>
        <v>75.40283203125</v>
      </c>
      <c r="Q6" s="14">
        <f>P6/P5-1</f>
        <v>0.0</v>
      </c>
      <c r="R6" s="6" t="s">
        <v>168</v>
      </c>
      <c r="S6" s="6" t="s">
        <v>169</v>
      </c>
      <c r="T6" s="6" t="s">
        <v>170</v>
      </c>
      <c r="U6" s="15">
        <v>3</v>
      </c>
    </row>
    <row r="7" spans="1:21" ht="82.6" customHeight="1">
      <c r="A7" s="5" t="s">
        <v>17</v>
      </c>
      <c r="B7" s="6" t="s">
        <v>171</v>
      </c>
      <c r="C7" s="7">
        <f>'Benchmark Detail'!L7</f>
        <v>1259654</v>
      </c>
      <c r="D7" s="8">
        <f>1-C7/C5</f>
        <v>0.0</v>
      </c>
      <c r="E7" s="9">
        <f>'Benchmark Detail'!K7</f>
        <v>3.3120346069335938</v>
      </c>
      <c r="F7" s="8">
        <f>1-E7/E5</f>
        <v>0.3107392982517422</v>
      </c>
      <c r="G7" s="10">
        <f>'Quality by Seed'!C24</f>
        <v>0.9764444444444446</v>
      </c>
      <c r="H7" s="11">
        <f>'Quality by Seed'!C25</f>
        <v>0.1924500897298733</v>
      </c>
      <c r="I7" s="12">
        <f>(G7-G5)*100</f>
        <v>0.011111111111117289</v>
      </c>
      <c r="J7" s="10">
        <f>'Quality by Seed'!F24</f>
        <v>0.9666666666666667</v>
      </c>
      <c r="K7" s="11">
        <f>'Quality by Seed'!F25</f>
        <v>1.9094065395649376</v>
      </c>
      <c r="L7" s="12">
        <f>(J7-J5)*100</f>
        <v>0.1388888888888884</v>
      </c>
      <c r="M7" s="13">
        <f>'Benchmark Detail'!C7</f>
        <v>11.474539499999992</v>
      </c>
      <c r="N7" s="13">
        <f>'Benchmark Detail'!D7</f>
        <v>13.280214150091751</v>
      </c>
      <c r="O7" s="14">
        <f>N7/N5-1</f>
        <v>1.0331389959116364</v>
      </c>
      <c r="P7" s="13">
        <f>'Benchmark Detail'!I7</f>
        <v>73.91259765625</v>
      </c>
      <c r="Q7" s="14">
        <f>P7/P5-1</f>
        <v>-0.019763639307107006</v>
      </c>
      <c r="R7" s="6" t="s">
        <v>172</v>
      </c>
      <c r="S7" s="6" t="s">
        <v>173</v>
      </c>
      <c r="T7" s="6" t="s">
        <v>174</v>
      </c>
      <c r="U7" s="15">
        <v>4</v>
      </c>
    </row>
    <row r="8" spans="1:21" ht="97.12" customHeight="1">
      <c r="A8" s="5" t="s">
        <v>21</v>
      </c>
      <c r="B8" s="6" t="s">
        <v>175</v>
      </c>
      <c r="C8" s="7">
        <f>'Benchmark Detail'!L8</f>
        <v>431814</v>
      </c>
      <c r="D8" s="8">
        <f>1-C8/C5</f>
        <v>0.6571963412175089</v>
      </c>
      <c r="E8" s="9">
        <f>'Benchmark Detail'!K8</f>
        <v>1.6472396850585938</v>
      </c>
      <c r="F8" s="8">
        <f>1-E8/E5</f>
        <v>0.6571963412175089</v>
      </c>
      <c r="G8" s="10">
        <f>'Quality by Seed'!C26</f>
        <v>0.9797777777777777</v>
      </c>
      <c r="H8" s="11">
        <f>'Quality by Seed'!C27</f>
        <v>0.28349668493717756</v>
      </c>
      <c r="I8" s="12">
        <f>(G8-G5)*100</f>
        <v>0.3444444444444361</v>
      </c>
      <c r="J8" s="10">
        <f>'Quality by Seed'!F26</f>
        <v>0.9555555555555556</v>
      </c>
      <c r="K8" s="11">
        <f>'Quality by Seed'!F27</f>
        <v>1.4632852434517698</v>
      </c>
      <c r="L8" s="12">
        <f>(J8-J5)*100</f>
        <v>-0.9722222222222188</v>
      </c>
      <c r="M8" s="13">
        <f>'Benchmark Detail'!C8</f>
        <v>2.8454859999555993</v>
      </c>
      <c r="N8" s="13">
        <f>'Benchmark Detail'!D8</f>
        <v>3.373775349996322</v>
      </c>
      <c r="O8" s="14">
        <f>N8/N5-1</f>
        <v>-0.4834906914904259</v>
      </c>
      <c r="P8" s="13">
        <f>'Benchmark Detail'!I8</f>
        <v>69.53125</v>
      </c>
      <c r="Q8" s="14">
        <f>P8/P5-1</f>
        <v>-0.07786951594625224</v>
      </c>
      <c r="R8" s="6" t="s">
        <v>176</v>
      </c>
      <c r="S8" s="6" t="s">
        <v>177</v>
      </c>
      <c r="T8" s="6" t="s">
        <v>178</v>
      </c>
      <c r="U8" s="15">
        <v>1</v>
      </c>
    </row>
    <row r="10" spans="1:21">
      <c r="A10" s="16" t="s">
        <v>179</v>
      </c>
      <c r="B10" s="16"/>
      <c r="C10" s="16"/>
      <c r="D10" s="16"/>
      <c r="E10" s="16"/>
      <c r="F10" s="16"/>
      <c r="G10" s="16"/>
      <c r="H10" s="16"/>
      <c r="I10" s="16"/>
      <c r="J10" s="16"/>
      <c r="K10" s="16"/>
      <c r="L10" s="16"/>
      <c r="M10" s="16"/>
      <c r="N10" s="16"/>
      <c r="O10" s="16"/>
      <c r="P10" s="16"/>
      <c r="Q10" s="16"/>
    </row>
    <row r="11" spans="1:21" ht="24.52" customHeight="1">
      <c r="A11" s="17" t="s">
        <v>180</v>
      </c>
      <c r="B11" s="17"/>
      <c r="C11" s="17"/>
      <c r="D11" s="17"/>
      <c r="E11" s="17"/>
      <c r="F11" s="17"/>
      <c r="G11" s="17"/>
      <c r="H11" s="17"/>
      <c r="I11" s="17"/>
      <c r="J11" s="17"/>
      <c r="K11" s="17"/>
      <c r="L11" s="17"/>
      <c r="M11" s="17"/>
      <c r="N11" s="17"/>
      <c r="O11" s="17"/>
      <c r="P11" s="17"/>
      <c r="Q11" s="17"/>
    </row>
    <row r="12" spans="1:21" ht="53.56" customHeight="1">
      <c r="A12" s="17" t="s">
        <v>181</v>
      </c>
      <c r="B12" s="17"/>
      <c r="C12" s="17"/>
      <c r="D12" s="17"/>
      <c r="E12" s="17"/>
      <c r="F12" s="17"/>
      <c r="G12" s="17"/>
      <c r="H12" s="17"/>
      <c r="I12" s="17"/>
      <c r="J12" s="17"/>
      <c r="K12" s="17"/>
      <c r="L12" s="17"/>
      <c r="M12" s="17"/>
      <c r="N12" s="17"/>
      <c r="O12" s="17"/>
      <c r="P12" s="17"/>
      <c r="Q12" s="17"/>
    </row>
    <row r="13" spans="1:21" ht="39.04" customHeight="1">
      <c r="A13" s="17" t="s">
        <v>182</v>
      </c>
      <c r="B13" s="17"/>
      <c r="C13" s="17"/>
      <c r="D13" s="17"/>
      <c r="E13" s="17"/>
      <c r="F13" s="17"/>
      <c r="G13" s="17"/>
      <c r="H13" s="17"/>
      <c r="I13" s="17"/>
      <c r="J13" s="17"/>
      <c r="K13" s="17"/>
      <c r="L13" s="17"/>
      <c r="M13" s="17"/>
      <c r="N13" s="17"/>
      <c r="O13" s="17"/>
      <c r="P13" s="17"/>
      <c r="Q13" s="17"/>
    </row>
    <row r="14" spans="1:21" ht="39.04" customHeight="1">
      <c r="A14" s="17" t="s">
        <v>183</v>
      </c>
      <c r="B14" s="17"/>
      <c r="C14" s="17"/>
      <c r="D14" s="17"/>
      <c r="E14" s="17"/>
      <c r="F14" s="17"/>
      <c r="G14" s="17"/>
      <c r="H14" s="17"/>
      <c r="I14" s="17"/>
      <c r="J14" s="17"/>
      <c r="K14" s="17"/>
      <c r="L14" s="17"/>
      <c r="M14" s="17"/>
      <c r="N14" s="17"/>
      <c r="O14" s="17"/>
      <c r="P14" s="17"/>
      <c r="Q14" s="17"/>
    </row>
    <row r="15" spans="1:21" ht="24.52" customHeight="1">
      <c r="A15" s="17" t="s">
        <v>184</v>
      </c>
      <c r="B15" s="17"/>
      <c r="C15" s="17"/>
      <c r="D15" s="17"/>
      <c r="E15" s="17"/>
      <c r="F15" s="17"/>
      <c r="G15" s="17"/>
      <c r="H15" s="17"/>
      <c r="I15" s="17"/>
      <c r="J15" s="17"/>
      <c r="K15" s="17"/>
      <c r="L15" s="17"/>
      <c r="M15" s="17"/>
      <c r="N15" s="17"/>
      <c r="O15" s="17"/>
      <c r="P15" s="17"/>
      <c r="Q15" s="17"/>
    </row>
    <row r="17" spans="1:17" ht="30" customHeight="1">
      <c r="A17" s="18" t="s">
        <v>185</v>
      </c>
      <c r="B17" s="18"/>
      <c r="C17" s="18"/>
      <c r="D17" s="18"/>
      <c r="E17" s="18"/>
      <c r="F17" s="18"/>
      <c r="G17" s="18"/>
      <c r="H17" s="18"/>
      <c r="I17" s="18"/>
      <c r="J17" s="18"/>
      <c r="K17" s="18"/>
      <c r="L17" s="18"/>
      <c r="M17" s="18"/>
      <c r="N17" s="18"/>
      <c r="O17" s="18"/>
      <c r="P17" s="18"/>
      <c r="Q17" s="18"/>
    </row>
  </sheetData>
  <mergeCells count="7">
    <mergeCell ref="A10:Q10"/>
    <mergeCell ref="A11:Q11"/>
    <mergeCell ref="A12:Q12"/>
    <mergeCell ref="A13:Q13"/>
    <mergeCell ref="A14:Q14"/>
    <mergeCell ref="A15:Q15"/>
    <mergeCell ref="A17:Q17"/>
  </mergeCells>
  <conditionalFormatting sqref="E5:E8">
    <cfRule type="expression" dxfId="0" priority="1">
      <formula>ROUND(E5,9)=ROUND(MIN($E$5:$E$8),9)</formula>
    </cfRule>
  </conditionalFormatting>
  <conditionalFormatting sqref="G5:G8">
    <cfRule type="expression" dxfId="0" priority="2">
      <formula>ROUND(G5,9)=ROUND(MAX($G$5:$G$8),9)</formula>
    </cfRule>
  </conditionalFormatting>
  <conditionalFormatting sqref="J5:J8">
    <cfRule type="expression" dxfId="0" priority="3">
      <formula>ROUND(J5,9)=ROUND(MAX($J$5:$J$8),9)</formula>
    </cfRule>
  </conditionalFormatting>
  <conditionalFormatting sqref="M5:M8">
    <cfRule type="expression" dxfId="0" priority="4">
      <formula>ROUND(M5,9)=ROUND(MIN($M$5:$M$8),9)</formula>
    </cfRule>
  </conditionalFormatting>
  <conditionalFormatting sqref="N5:N8">
    <cfRule type="expression" dxfId="0" priority="5">
      <formula>ROUND(N5,9)=ROUND(MIN($N$5:$N$8),9)</formula>
    </cfRule>
  </conditionalFormatting>
  <conditionalFormatting sqref="P5:P8">
    <cfRule type="expression" dxfId="0" priority="6">
      <formula>ROUND(P5,9)=ROUND(MIN($P$5:$P$8),9)</formula>
    </cfRule>
  </conditionalFormatting>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J48"/>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34.7109375" customWidth="1"/>
    <col min="2" max="2" width="24.7109375" customWidth="1"/>
    <col min="3" max="9" width="15.7109375" customWidth="1"/>
    <col min="10" max="10" width="62.7109375" customWidth="1"/>
  </cols>
  <sheetData>
    <row r="1" spans="1:10" ht="30" customHeight="1">
      <c r="A1" s="19" t="s">
        <v>0</v>
      </c>
    </row>
    <row r="2" spans="1:10">
      <c r="A2" s="20" t="s">
        <v>1</v>
      </c>
    </row>
    <row r="4" spans="1:10" ht="48" customHeight="1">
      <c r="A4" s="4" t="s">
        <v>2</v>
      </c>
      <c r="B4" s="4" t="s">
        <v>3</v>
      </c>
      <c r="C4" s="4" t="s">
        <v>4</v>
      </c>
      <c r="D4" s="4" t="s">
        <v>5</v>
      </c>
      <c r="E4" s="4" t="s">
        <v>6</v>
      </c>
      <c r="F4" s="4" t="s">
        <v>7</v>
      </c>
      <c r="G4" s="4" t="s">
        <v>8</v>
      </c>
      <c r="H4" s="4"/>
      <c r="I4" s="4"/>
      <c r="J4" s="4"/>
    </row>
    <row r="5" spans="1:10">
      <c r="A5" s="21" t="s">
        <v>9</v>
      </c>
      <c r="B5" s="22">
        <v>0</v>
      </c>
      <c r="C5" s="23">
        <f>2925/3000</f>
        <v>0.975</v>
      </c>
      <c r="D5" s="23">
        <f>112/120</f>
        <v>0.9333333333333333</v>
      </c>
      <c r="E5" s="23">
        <f>115/120</f>
        <v>0.9583333333333334</v>
      </c>
      <c r="F5" s="23">
        <f>(D5+E5)/2</f>
        <v>0.9458333333333333</v>
      </c>
      <c r="G5" s="24" t="s">
        <v>10</v>
      </c>
      <c r="H5" s="24"/>
      <c r="I5" s="24"/>
      <c r="J5" s="24"/>
    </row>
    <row r="6" spans="1:10">
      <c r="A6" s="21" t="s">
        <v>9</v>
      </c>
      <c r="B6" s="22">
        <v>1</v>
      </c>
      <c r="C6" s="23">
        <f>2935/3000</f>
        <v>0.9783333333333334</v>
      </c>
      <c r="D6" s="23">
        <f>113/120</f>
        <v>0.9416666666666667</v>
      </c>
      <c r="E6" s="23">
        <f>119/120</f>
        <v>0.9916666666666667</v>
      </c>
      <c r="F6" s="23">
        <f>(D6+E6)/2</f>
        <v>0.9666666666666667</v>
      </c>
      <c r="G6" s="24" t="s">
        <v>11</v>
      </c>
      <c r="H6" s="24"/>
      <c r="I6" s="24"/>
      <c r="J6" s="24"/>
    </row>
    <row r="7" spans="1:10">
      <c r="A7" s="21" t="s">
        <v>9</v>
      </c>
      <c r="B7" s="22">
        <v>2</v>
      </c>
      <c r="C7" s="23">
        <f>2927/3000</f>
        <v>0.9756666666666667</v>
      </c>
      <c r="D7" s="23">
        <f>117/120</f>
        <v>0.975</v>
      </c>
      <c r="E7" s="23">
        <f>119/120</f>
        <v>0.9916666666666667</v>
      </c>
      <c r="F7" s="23">
        <f>(D7+E7)/2</f>
        <v>0.9833333333333334</v>
      </c>
      <c r="G7" s="24" t="s">
        <v>12</v>
      </c>
      <c r="H7" s="24"/>
      <c r="I7" s="24"/>
      <c r="J7" s="24"/>
    </row>
    <row r="8" spans="1:10">
      <c r="A8" s="25" t="s">
        <v>13</v>
      </c>
      <c r="B8" s="26">
        <v>0</v>
      </c>
      <c r="C8" s="27">
        <f>2945/3000</f>
        <v>0.9816666666666667</v>
      </c>
      <c r="D8" s="27">
        <f>114/120</f>
        <v>0.95</v>
      </c>
      <c r="E8" s="27">
        <f>117/120</f>
        <v>0.975</v>
      </c>
      <c r="F8" s="27">
        <f>(D8+E8)/2</f>
        <v>0.9624999999999999</v>
      </c>
      <c r="G8" s="24" t="s">
        <v>14</v>
      </c>
      <c r="H8" s="24"/>
      <c r="I8" s="24"/>
      <c r="J8" s="24"/>
    </row>
    <row r="9" spans="1:10">
      <c r="A9" s="25" t="s">
        <v>13</v>
      </c>
      <c r="B9" s="26">
        <v>1</v>
      </c>
      <c r="C9" s="27">
        <f>2949/3000</f>
        <v>0.983</v>
      </c>
      <c r="D9" s="27">
        <f>113/120</f>
        <v>0.9416666666666667</v>
      </c>
      <c r="E9" s="27">
        <f>118/120</f>
        <v>0.9833333333333333</v>
      </c>
      <c r="F9" s="27">
        <f>(D9+E9)/2</f>
        <v>0.9624999999999999</v>
      </c>
      <c r="G9" s="24" t="s">
        <v>15</v>
      </c>
      <c r="H9" s="24"/>
      <c r="I9" s="24"/>
      <c r="J9" s="24"/>
    </row>
    <row r="10" spans="1:10">
      <c r="A10" s="25" t="s">
        <v>13</v>
      </c>
      <c r="B10" s="26">
        <v>2</v>
      </c>
      <c r="C10" s="27">
        <f>2943/3000</f>
        <v>0.981</v>
      </c>
      <c r="D10" s="27">
        <f>115/120</f>
        <v>0.9583333333333334</v>
      </c>
      <c r="E10" s="27">
        <f>119/120</f>
        <v>0.9916666666666667</v>
      </c>
      <c r="F10" s="27">
        <f>(D10+E10)/2</f>
        <v>0.9750000000000001</v>
      </c>
      <c r="G10" s="24" t="s">
        <v>16</v>
      </c>
      <c r="H10" s="24"/>
      <c r="I10" s="24"/>
      <c r="J10" s="24"/>
    </row>
    <row r="11" spans="1:10">
      <c r="A11" s="21" t="s">
        <v>17</v>
      </c>
      <c r="B11" s="22">
        <v>0</v>
      </c>
      <c r="C11" s="23">
        <f>2926/3000</f>
        <v>0.9753333333333334</v>
      </c>
      <c r="D11" s="23">
        <f>112/120</f>
        <v>0.9333333333333333</v>
      </c>
      <c r="E11" s="23">
        <f>115/120</f>
        <v>0.9583333333333334</v>
      </c>
      <c r="F11" s="23">
        <f>(D11+E11)/2</f>
        <v>0.9458333333333333</v>
      </c>
      <c r="G11" s="24" t="s">
        <v>18</v>
      </c>
      <c r="H11" s="24"/>
      <c r="I11" s="24"/>
      <c r="J11" s="24"/>
    </row>
    <row r="12" spans="1:10">
      <c r="A12" s="21" t="s">
        <v>17</v>
      </c>
      <c r="B12" s="22">
        <v>1</v>
      </c>
      <c r="C12" s="23">
        <f>2936/3000</f>
        <v>0.9786666666666667</v>
      </c>
      <c r="D12" s="23">
        <f>114/120</f>
        <v>0.95</v>
      </c>
      <c r="E12" s="23">
        <f>119/120</f>
        <v>0.9916666666666667</v>
      </c>
      <c r="F12" s="23">
        <f>(D12+E12)/2</f>
        <v>0.9708333333333333</v>
      </c>
      <c r="G12" s="24" t="s">
        <v>19</v>
      </c>
      <c r="H12" s="24"/>
      <c r="I12" s="24"/>
      <c r="J12" s="24"/>
    </row>
    <row r="13" spans="1:10">
      <c r="A13" s="21" t="s">
        <v>17</v>
      </c>
      <c r="B13" s="22">
        <v>2</v>
      </c>
      <c r="C13" s="23">
        <f>2926/3000</f>
        <v>0.9753333333333334</v>
      </c>
      <c r="D13" s="23">
        <f>117/120</f>
        <v>0.975</v>
      </c>
      <c r="E13" s="23">
        <f>119/120</f>
        <v>0.9916666666666667</v>
      </c>
      <c r="F13" s="23">
        <f>(D13+E13)/2</f>
        <v>0.9833333333333334</v>
      </c>
      <c r="G13" s="24" t="s">
        <v>20</v>
      </c>
      <c r="H13" s="24"/>
      <c r="I13" s="24"/>
      <c r="J13" s="24"/>
    </row>
    <row r="14" spans="1:10">
      <c r="A14" s="25" t="s">
        <v>21</v>
      </c>
      <c r="B14" s="26">
        <v>0</v>
      </c>
      <c r="C14" s="27">
        <f>2936/3000</f>
        <v>0.9786666666666667</v>
      </c>
      <c r="D14" s="27">
        <f>109/120</f>
        <v>0.9083333333333333</v>
      </c>
      <c r="E14" s="27">
        <f>117/120</f>
        <v>0.975</v>
      </c>
      <c r="F14" s="27">
        <f>(D14+E14)/2</f>
        <v>0.9416666666666667</v>
      </c>
      <c r="G14" s="24" t="s">
        <v>22</v>
      </c>
      <c r="H14" s="24"/>
      <c r="I14" s="24"/>
      <c r="J14" s="24"/>
    </row>
    <row r="15" spans="1:10">
      <c r="A15" s="25" t="s">
        <v>21</v>
      </c>
      <c r="B15" s="26">
        <v>1</v>
      </c>
      <c r="C15" s="27">
        <f>2949/3000</f>
        <v>0.983</v>
      </c>
      <c r="D15" s="27">
        <f>113/120</f>
        <v>0.9416666666666667</v>
      </c>
      <c r="E15" s="27">
        <f>116/120</f>
        <v>0.9666666666666667</v>
      </c>
      <c r="F15" s="27">
        <f>(D15+E15)/2</f>
        <v>0.9541666666666666</v>
      </c>
      <c r="G15" s="24" t="s">
        <v>23</v>
      </c>
      <c r="H15" s="24"/>
      <c r="I15" s="24"/>
      <c r="J15" s="24"/>
    </row>
    <row r="16" spans="1:10">
      <c r="A16" s="25" t="s">
        <v>21</v>
      </c>
      <c r="B16" s="26">
        <v>2</v>
      </c>
      <c r="C16" s="27">
        <f>2933/3000</f>
        <v>0.9776666666666667</v>
      </c>
      <c r="D16" s="27">
        <f>116/120</f>
        <v>0.9666666666666667</v>
      </c>
      <c r="E16" s="27">
        <f>117/120</f>
        <v>0.975</v>
      </c>
      <c r="F16" s="27">
        <f>(D16+E16)/2</f>
        <v>0.9708333333333333</v>
      </c>
      <c r="G16" s="24" t="s">
        <v>24</v>
      </c>
      <c r="H16" s="24"/>
      <c r="I16" s="24"/>
      <c r="J16" s="24"/>
    </row>
    <row r="18" spans="1:10">
      <c r="A18" s="16" t="s">
        <v>25</v>
      </c>
      <c r="B18" s="16"/>
      <c r="C18" s="16"/>
      <c r="D18" s="16"/>
      <c r="E18" s="16"/>
      <c r="F18" s="16"/>
      <c r="G18" s="16"/>
      <c r="H18" s="16"/>
      <c r="I18" s="16"/>
      <c r="J18" s="16"/>
    </row>
    <row r="19" spans="1:10" ht="48" customHeight="1">
      <c r="A19" s="4" t="s">
        <v>2</v>
      </c>
      <c r="B19" s="4" t="s">
        <v>26</v>
      </c>
      <c r="C19" s="4" t="s">
        <v>4</v>
      </c>
      <c r="D19" s="4" t="s">
        <v>5</v>
      </c>
      <c r="E19" s="4" t="s">
        <v>6</v>
      </c>
      <c r="F19" s="4" t="s">
        <v>7</v>
      </c>
    </row>
    <row r="20" spans="1:10">
      <c r="A20" s="28" t="s">
        <v>9</v>
      </c>
      <c r="B20" s="28" t="s">
        <v>27</v>
      </c>
      <c r="C20" s="29">
        <f>AVERAGE(C5:C7)</f>
        <v>0.9763333333333334</v>
      </c>
      <c r="D20" s="29">
        <f>AVERAGE(D5:D7)</f>
        <v>0.9500000000000001</v>
      </c>
      <c r="E20" s="29">
        <f>AVERAGE(E5:E7)</f>
        <v>0.9805555555555556</v>
      </c>
      <c r="F20" s="29">
        <f>AVERAGE(F5:F7)</f>
        <v>0.9652777777777778</v>
      </c>
    </row>
    <row r="21" spans="1:10">
      <c r="A21" s="30" t="s">
        <v>9</v>
      </c>
      <c r="B21" s="30" t="s">
        <v>28</v>
      </c>
      <c r="C21" s="31">
        <f>STDEV(C5:C7)*100</f>
        <v>0.17638342073764302</v>
      </c>
      <c r="D21" s="31">
        <f>STDEV(D5:D7)*100</f>
        <v>2.2047927592204903</v>
      </c>
      <c r="E21" s="31">
        <f>STDEV(E5:E7)*100</f>
        <v>1.924500897298752</v>
      </c>
      <c r="F21" s="31">
        <f>STDEV(F5:F7)*100</f>
        <v>1.8788540636762103</v>
      </c>
    </row>
    <row r="22" spans="1:10">
      <c r="A22" s="32" t="s">
        <v>13</v>
      </c>
      <c r="B22" s="32" t="s">
        <v>27</v>
      </c>
      <c r="C22" s="33">
        <f>AVERAGE(C8:C10)</f>
        <v>0.9818888888888888</v>
      </c>
      <c r="D22" s="33">
        <f>AVERAGE(D8:D10)</f>
        <v>0.9500000000000001</v>
      </c>
      <c r="E22" s="33">
        <f>AVERAGE(E8:E10)</f>
        <v>0.9833333333333334</v>
      </c>
      <c r="F22" s="33">
        <f>AVERAGE(F8:F10)</f>
        <v>0.9666666666666667</v>
      </c>
    </row>
    <row r="23" spans="1:10">
      <c r="A23" s="34" t="s">
        <v>13</v>
      </c>
      <c r="B23" s="34" t="s">
        <v>28</v>
      </c>
      <c r="C23" s="35">
        <f>STDEV(C8:C10)*100</f>
        <v>0.1018350154434628</v>
      </c>
      <c r="D23" s="35">
        <f>STDEV(D8:D10)*100</f>
        <v>0.8333333333333359</v>
      </c>
      <c r="E23" s="35">
        <f>STDEV(E8:E10)*100</f>
        <v>0.8333333333333359</v>
      </c>
      <c r="F23" s="35">
        <f>STDEV(F8:F10)*100</f>
        <v>0.7216878364870425</v>
      </c>
    </row>
    <row r="24" spans="1:10">
      <c r="A24" s="28" t="s">
        <v>17</v>
      </c>
      <c r="B24" s="28" t="s">
        <v>27</v>
      </c>
      <c r="C24" s="29">
        <f>AVERAGE(C11:C13)</f>
        <v>0.9764444444444446</v>
      </c>
      <c r="D24" s="29">
        <f>AVERAGE(D11:D13)</f>
        <v>0.9527777777777778</v>
      </c>
      <c r="E24" s="29">
        <f>AVERAGE(E11:E13)</f>
        <v>0.9805555555555556</v>
      </c>
      <c r="F24" s="29">
        <f>AVERAGE(F11:F13)</f>
        <v>0.9666666666666667</v>
      </c>
    </row>
    <row r="25" spans="1:10">
      <c r="A25" s="30" t="s">
        <v>17</v>
      </c>
      <c r="B25" s="30" t="s">
        <v>28</v>
      </c>
      <c r="C25" s="31">
        <f>STDEV(C11:C13)*100</f>
        <v>0.1924500897298733</v>
      </c>
      <c r="D25" s="31">
        <f>STDEV(D11:D13)*100</f>
        <v>2.097176232019651</v>
      </c>
      <c r="E25" s="31">
        <f>STDEV(E11:E13)*100</f>
        <v>1.924500897298752</v>
      </c>
      <c r="F25" s="31">
        <f>STDEV(F11:F13)*100</f>
        <v>1.9094065395649376</v>
      </c>
    </row>
    <row r="26" spans="1:10">
      <c r="A26" s="32" t="s">
        <v>21</v>
      </c>
      <c r="B26" s="32" t="s">
        <v>27</v>
      </c>
      <c r="C26" s="33">
        <f>AVERAGE(C14:C16)</f>
        <v>0.9797777777777777</v>
      </c>
      <c r="D26" s="33">
        <f>AVERAGE(D14:D16)</f>
        <v>0.938888888888889</v>
      </c>
      <c r="E26" s="33">
        <f>AVERAGE(E14:E16)</f>
        <v>0.9722222222222222</v>
      </c>
      <c r="F26" s="33">
        <f>AVERAGE(F14:F16)</f>
        <v>0.9555555555555556</v>
      </c>
    </row>
    <row r="27" spans="1:10">
      <c r="A27" s="34" t="s">
        <v>21</v>
      </c>
      <c r="B27" s="34" t="s">
        <v>28</v>
      </c>
      <c r="C27" s="35">
        <f>STDEV(C14:C16)*100</f>
        <v>0.28349668493717756</v>
      </c>
      <c r="D27" s="35">
        <f>STDEV(D14:D16)*100</f>
        <v>2.926570486903539</v>
      </c>
      <c r="E27" s="35">
        <f>STDEV(E14:E16)*100</f>
        <v>0.48112522432468646</v>
      </c>
      <c r="F27" s="35">
        <f>STDEV(F14:F16)*100</f>
        <v>1.4632852434517698</v>
      </c>
    </row>
    <row r="29" spans="1:10">
      <c r="A29" s="16" t="s">
        <v>29</v>
      </c>
      <c r="B29" s="16"/>
      <c r="C29" s="16"/>
      <c r="D29" s="16"/>
      <c r="E29" s="16"/>
      <c r="F29" s="16"/>
      <c r="G29" s="16"/>
      <c r="H29" s="16"/>
      <c r="I29" s="16"/>
      <c r="J29" s="16"/>
    </row>
    <row r="30" spans="1:10" ht="62" customHeight="1">
      <c r="A30" s="4" t="s">
        <v>2</v>
      </c>
      <c r="B30" s="4" t="s">
        <v>30</v>
      </c>
      <c r="C30" s="4" t="s">
        <v>31</v>
      </c>
      <c r="D30" s="4" t="s">
        <v>32</v>
      </c>
      <c r="E30" s="4" t="s">
        <v>33</v>
      </c>
      <c r="F30" s="4" t="s">
        <v>34</v>
      </c>
      <c r="G30" s="4" t="s">
        <v>35</v>
      </c>
      <c r="H30" s="4" t="s">
        <v>36</v>
      </c>
      <c r="I30" s="4" t="s">
        <v>37</v>
      </c>
      <c r="J30" s="4" t="s">
        <v>38</v>
      </c>
    </row>
    <row r="31" spans="1:10">
      <c r="A31" s="36" t="s">
        <v>13</v>
      </c>
      <c r="B31" s="36" t="s">
        <v>4</v>
      </c>
      <c r="C31" s="37">
        <f>(C22-C20)*100</f>
        <v>0.5555555555555425</v>
      </c>
      <c r="D31" s="37">
        <f>(C8-C5)*100</f>
        <v>0.666666666666671</v>
      </c>
      <c r="E31" s="37">
        <f>(C9-C6)*100</f>
        <v>0.4666666666666597</v>
      </c>
      <c r="F31" s="37">
        <f>(C10-C7)*100</f>
        <v>0.5333333333333301</v>
      </c>
      <c r="G31" s="38">
        <f>C21</f>
        <v>0.17638342073764302</v>
      </c>
      <c r="H31" s="38">
        <f>C23</f>
        <v>0.1018350154434628</v>
      </c>
      <c r="I31" s="39">
        <f>ABS(C31)/MAX(G31,H31)</f>
        <v>3.149703941743421</v>
      </c>
      <c r="J31" s="40" t="str">
        <f>IF(I31&lt;1,"Smaller than the seed spread: treat as similar","Larger than the seed spread (only 3 seeds; no significance test was run)")</f>
        <v>Larger than the seed spread (only 3 seeds; no significance test was run)</v>
      </c>
    </row>
    <row r="32" spans="1:10">
      <c r="A32" s="36" t="s">
        <v>13</v>
      </c>
      <c r="B32" s="36" t="s">
        <v>5</v>
      </c>
      <c r="C32" s="37">
        <f>(D22-D20)*100</f>
        <v>0.0</v>
      </c>
      <c r="D32" s="37">
        <f>(D8-D5)*100</f>
        <v>1.6666666666666607</v>
      </c>
      <c r="E32" s="37">
        <f>(D9-D6)*100</f>
        <v>0.0</v>
      </c>
      <c r="F32" s="37">
        <f>(D10-D7)*100</f>
        <v>-1.6666666666666607</v>
      </c>
      <c r="G32" s="38">
        <f>D21</f>
        <v>2.2047927592204903</v>
      </c>
      <c r="H32" s="38">
        <f>D23</f>
        <v>0.8333333333333359</v>
      </c>
      <c r="I32" s="39">
        <f>ABS(C32)/MAX(G32,H32)</f>
        <v>0.0</v>
      </c>
      <c r="J32" s="40" t="str">
        <f>IF(I32&lt;1,"Smaller than the seed spread: treat as similar","Larger than the seed spread (only 3 seeds; no significance test was run)")</f>
        <v>Smaller than the seed spread: treat as similar</v>
      </c>
    </row>
    <row r="33" spans="1:10">
      <c r="A33" s="36" t="s">
        <v>13</v>
      </c>
      <c r="B33" s="36" t="s">
        <v>6</v>
      </c>
      <c r="C33" s="37">
        <f>(E22-E20)*100</f>
        <v>0.2777777777777768</v>
      </c>
      <c r="D33" s="37">
        <f>(E8-E5)*100</f>
        <v>1.6666666666666607</v>
      </c>
      <c r="E33" s="37">
        <f>(E9-E6)*100</f>
        <v>-0.8333333333333415</v>
      </c>
      <c r="F33" s="37">
        <f>(E10-E7)*100</f>
        <v>0.0</v>
      </c>
      <c r="G33" s="38">
        <f>E21</f>
        <v>1.924500897298752</v>
      </c>
      <c r="H33" s="38">
        <f>E23</f>
        <v>0.8333333333333359</v>
      </c>
      <c r="I33" s="39">
        <f>ABS(C33)/MAX(G33,H33)</f>
        <v>0.14433756729740596</v>
      </c>
      <c r="J33" s="40" t="str">
        <f>IF(I33&lt;1,"Smaller than the seed spread: treat as similar","Larger than the seed spread (only 3 seeds; no significance test was run)")</f>
        <v>Smaller than the seed spread: treat as similar</v>
      </c>
    </row>
    <row r="34" spans="1:10">
      <c r="A34" s="36" t="s">
        <v>13</v>
      </c>
      <c r="B34" s="36" t="s">
        <v>7</v>
      </c>
      <c r="C34" s="37">
        <f>(F22-F20)*100</f>
        <v>0.1388888888888884</v>
      </c>
      <c r="D34" s="37">
        <f>(F8-F5)*100</f>
        <v>1.6666666666666607</v>
      </c>
      <c r="E34" s="37">
        <f>(F9-F6)*100</f>
        <v>-0.4166666666666763</v>
      </c>
      <c r="F34" s="37">
        <f>(F10-F7)*100</f>
        <v>-0.8333333333333304</v>
      </c>
      <c r="G34" s="38">
        <f>F21</f>
        <v>1.8788540636762103</v>
      </c>
      <c r="H34" s="38">
        <f>F23</f>
        <v>0.7216878364870425</v>
      </c>
      <c r="I34" s="39">
        <f>ABS(C34)/MAX(G34,H34)</f>
        <v>0.07392212709545684</v>
      </c>
      <c r="J34" s="40" t="str">
        <f>IF(I34&lt;1,"Smaller than the seed spread: treat as similar","Larger than the seed spread (only 3 seeds; no significance test was run)")</f>
        <v>Smaller than the seed spread: treat as similar</v>
      </c>
    </row>
    <row r="35" spans="1:10">
      <c r="A35" s="36" t="s">
        <v>17</v>
      </c>
      <c r="B35" s="36" t="s">
        <v>4</v>
      </c>
      <c r="C35" s="37">
        <f>(C24-C20)*100</f>
        <v>0.011111111111117289</v>
      </c>
      <c r="D35" s="37">
        <f>(C11-C5)*100</f>
        <v>0.033333333333340764</v>
      </c>
      <c r="E35" s="37">
        <f>(C12-C6)*100</f>
        <v>0.03333333333332966</v>
      </c>
      <c r="F35" s="37">
        <f>(C13-C7)*100</f>
        <v>-0.03333333333332966</v>
      </c>
      <c r="G35" s="38">
        <f>C21</f>
        <v>0.17638342073764302</v>
      </c>
      <c r="H35" s="38">
        <f>C25</f>
        <v>0.1924500897298733</v>
      </c>
      <c r="I35" s="39">
        <f>ABS(C35)/MAX(G35,H35)</f>
        <v>0.057735026918995264</v>
      </c>
      <c r="J35" s="40" t="str">
        <f>IF(I35&lt;1,"Smaller than the seed spread: treat as similar","Larger than the seed spread (only 3 seeds; no significance test was run)")</f>
        <v>Smaller than the seed spread: treat as similar</v>
      </c>
    </row>
    <row r="36" spans="1:10">
      <c r="A36" s="36" t="s">
        <v>17</v>
      </c>
      <c r="B36" s="36" t="s">
        <v>5</v>
      </c>
      <c r="C36" s="37">
        <f>(D24-D20)*100</f>
        <v>0.2777777777777768</v>
      </c>
      <c r="D36" s="37">
        <f>(D11-D5)*100</f>
        <v>0.0</v>
      </c>
      <c r="E36" s="37">
        <f>(D12-D6)*100</f>
        <v>0.8333333333333304</v>
      </c>
      <c r="F36" s="37">
        <f>(D13-D7)*100</f>
        <v>0.0</v>
      </c>
      <c r="G36" s="38">
        <f>D21</f>
        <v>2.2047927592204903</v>
      </c>
      <c r="H36" s="38">
        <f>D25</f>
        <v>2.097176232019651</v>
      </c>
      <c r="I36" s="39">
        <f>ABS(C36)/MAX(G36,H36)</f>
        <v>0.12598815766974206</v>
      </c>
      <c r="J36" s="40" t="str">
        <f>IF(I36&lt;1,"Smaller than the seed spread: treat as similar","Larger than the seed spread (only 3 seeds; no significance test was run)")</f>
        <v>Smaller than the seed spread: treat as similar</v>
      </c>
    </row>
    <row r="37" spans="1:10">
      <c r="A37" s="36" t="s">
        <v>17</v>
      </c>
      <c r="B37" s="36" t="s">
        <v>6</v>
      </c>
      <c r="C37" s="37">
        <f>(E24-E20)*100</f>
        <v>0.0</v>
      </c>
      <c r="D37" s="37">
        <f>(E11-E5)*100</f>
        <v>0.0</v>
      </c>
      <c r="E37" s="37">
        <f>(E12-E6)*100</f>
        <v>0.0</v>
      </c>
      <c r="F37" s="37">
        <f>(E13-E7)*100</f>
        <v>0.0</v>
      </c>
      <c r="G37" s="38">
        <f>E21</f>
        <v>1.924500897298752</v>
      </c>
      <c r="H37" s="38">
        <f>E25</f>
        <v>1.924500897298752</v>
      </c>
      <c r="I37" s="39">
        <f>ABS(C37)/MAX(G37,H37)</f>
        <v>0.0</v>
      </c>
      <c r="J37" s="40" t="str">
        <f>IF(I37&lt;1,"Smaller than the seed spread: treat as similar","Larger than the seed spread (only 3 seeds; no significance test was run)")</f>
        <v>Smaller than the seed spread: treat as similar</v>
      </c>
    </row>
    <row r="38" spans="1:10">
      <c r="A38" s="36" t="s">
        <v>17</v>
      </c>
      <c r="B38" s="36" t="s">
        <v>7</v>
      </c>
      <c r="C38" s="37">
        <f>(F24-F20)*100</f>
        <v>0.1388888888888884</v>
      </c>
      <c r="D38" s="37">
        <f>(F11-F5)*100</f>
        <v>0.0</v>
      </c>
      <c r="E38" s="37">
        <f>(F12-F6)*100</f>
        <v>0.4166666666666652</v>
      </c>
      <c r="F38" s="37">
        <f>(F13-F7)*100</f>
        <v>0.0</v>
      </c>
      <c r="G38" s="38">
        <f>F21</f>
        <v>1.8788540636762103</v>
      </c>
      <c r="H38" s="38">
        <f>F25</f>
        <v>1.9094065395649376</v>
      </c>
      <c r="I38" s="39">
        <f>ABS(C38)/MAX(G38,H38)</f>
        <v>0.07273929674533038</v>
      </c>
      <c r="J38" s="40" t="str">
        <f>IF(I38&lt;1,"Smaller than the seed spread: treat as similar","Larger than the seed spread (only 3 seeds; no significance test was run)")</f>
        <v>Smaller than the seed spread: treat as similar</v>
      </c>
    </row>
    <row r="39" spans="1:10">
      <c r="A39" s="36" t="s">
        <v>21</v>
      </c>
      <c r="B39" s="36" t="s">
        <v>4</v>
      </c>
      <c r="C39" s="37">
        <f>(C26-C20)*100</f>
        <v>0.3444444444444361</v>
      </c>
      <c r="D39" s="37">
        <f>(C14-C5)*100</f>
        <v>0.3666666666666707</v>
      </c>
      <c r="E39" s="37">
        <f>(C15-C6)*100</f>
        <v>0.4666666666666597</v>
      </c>
      <c r="F39" s="37">
        <f>(C16-C7)*100</f>
        <v>0.20000000000000018</v>
      </c>
      <c r="G39" s="38">
        <f>C21</f>
        <v>0.17638342073764302</v>
      </c>
      <c r="H39" s="38">
        <f>C27</f>
        <v>0.28349668493717756</v>
      </c>
      <c r="I39" s="39">
        <f>ABS(C39)/MAX(G39,H39)</f>
        <v>1.2149857925878904</v>
      </c>
      <c r="J39" s="40" t="str">
        <f>IF(I39&lt;1,"Smaller than the seed spread: treat as similar","Larger than the seed spread (only 3 seeds; no significance test was run)")</f>
        <v>Larger than the seed spread (only 3 seeds; no significance test was run)</v>
      </c>
    </row>
    <row r="40" spans="1:10">
      <c r="A40" s="36" t="s">
        <v>21</v>
      </c>
      <c r="B40" s="36" t="s">
        <v>5</v>
      </c>
      <c r="C40" s="37">
        <f>(D26-D20)*100</f>
        <v>-1.1111111111111072</v>
      </c>
      <c r="D40" s="37">
        <f>(D14-D5)*100</f>
        <v>-2.500000000000002</v>
      </c>
      <c r="E40" s="37">
        <f>(D15-D6)*100</f>
        <v>0.0</v>
      </c>
      <c r="F40" s="37">
        <f>(D16-D7)*100</f>
        <v>-0.8333333333333304</v>
      </c>
      <c r="G40" s="38">
        <f>D21</f>
        <v>2.2047927592204903</v>
      </c>
      <c r="H40" s="38">
        <f>D27</f>
        <v>2.926570486903539</v>
      </c>
      <c r="I40" s="39">
        <f>ABS(C40)/MAX(G40,H40)</f>
        <v>0.37966319830099815</v>
      </c>
      <c r="J40" s="40" t="str">
        <f>IF(I40&lt;1,"Smaller than the seed spread: treat as similar","Larger than the seed spread (only 3 seeds; no significance test was run)")</f>
        <v>Smaller than the seed spread: treat as similar</v>
      </c>
    </row>
    <row r="41" spans="1:10">
      <c r="A41" s="36" t="s">
        <v>21</v>
      </c>
      <c r="B41" s="36" t="s">
        <v>6</v>
      </c>
      <c r="C41" s="37">
        <f>(E26-E20)*100</f>
        <v>-0.8333333333333415</v>
      </c>
      <c r="D41" s="37">
        <f>(E14-E5)*100</f>
        <v>1.6666666666666607</v>
      </c>
      <c r="E41" s="37">
        <f>(E15-E6)*100</f>
        <v>-2.500000000000002</v>
      </c>
      <c r="F41" s="37">
        <f>(E16-E7)*100</f>
        <v>-1.6666666666666718</v>
      </c>
      <c r="G41" s="38">
        <f>E21</f>
        <v>1.924500897298752</v>
      </c>
      <c r="H41" s="38">
        <f>E27</f>
        <v>0.48112522432468646</v>
      </c>
      <c r="I41" s="39">
        <f>ABS(C41)/MAX(G41,H41)</f>
        <v>0.43301270189222363</v>
      </c>
      <c r="J41" s="40" t="str">
        <f>IF(I41&lt;1,"Smaller than the seed spread: treat as similar","Larger than the seed spread (only 3 seeds; no significance test was run)")</f>
        <v>Smaller than the seed spread: treat as similar</v>
      </c>
    </row>
    <row r="42" spans="1:10">
      <c r="A42" s="36" t="s">
        <v>21</v>
      </c>
      <c r="B42" s="36" t="s">
        <v>7</v>
      </c>
      <c r="C42" s="37">
        <f>(F26-F20)*100</f>
        <v>-0.9722222222222188</v>
      </c>
      <c r="D42" s="37">
        <f>(F14-F5)*100</f>
        <v>-0.4166666666666652</v>
      </c>
      <c r="E42" s="37">
        <f>(F15-F6)*100</f>
        <v>-1.2500000000000067</v>
      </c>
      <c r="F42" s="37">
        <f>(F16-F7)*100</f>
        <v>-1.2500000000000067</v>
      </c>
      <c r="G42" s="38">
        <f>F21</f>
        <v>1.8788540636762103</v>
      </c>
      <c r="H42" s="38">
        <f>F27</f>
        <v>1.4632852434517698</v>
      </c>
      <c r="I42" s="39">
        <f>ABS(C42)/MAX(G42,H42)</f>
        <v>0.517454889668198</v>
      </c>
      <c r="J42" s="40" t="str">
        <f>IF(I42&lt;1,"Smaller than the seed spread: treat as similar","Larger than the seed spread (only 3 seeds; no significance test was run)")</f>
        <v>Smaller than the seed spread: treat as similar</v>
      </c>
    </row>
    <row r="44" spans="1:10" ht="24.52" customHeight="1">
      <c r="A44" s="17" t="s">
        <v>39</v>
      </c>
      <c r="B44" s="17"/>
      <c r="C44" s="17"/>
      <c r="D44" s="17"/>
      <c r="E44" s="17"/>
      <c r="F44" s="17"/>
      <c r="G44" s="17"/>
      <c r="H44" s="17"/>
      <c r="I44" s="17"/>
      <c r="J44" s="17"/>
    </row>
    <row r="45" spans="1:10" ht="24.52" customHeight="1">
      <c r="A45" s="17" t="s">
        <v>40</v>
      </c>
      <c r="B45" s="17"/>
      <c r="C45" s="17"/>
      <c r="D45" s="17"/>
      <c r="E45" s="17"/>
      <c r="F45" s="17"/>
      <c r="G45" s="17"/>
      <c r="H45" s="17"/>
      <c r="I45" s="17"/>
      <c r="J45" s="17"/>
    </row>
    <row r="46" spans="1:10" ht="24.52" customHeight="1">
      <c r="A46" s="17" t="s">
        <v>41</v>
      </c>
      <c r="B46" s="17"/>
      <c r="C46" s="17"/>
      <c r="D46" s="17"/>
      <c r="E46" s="17"/>
      <c r="F46" s="17"/>
      <c r="G46" s="17"/>
      <c r="H46" s="17"/>
      <c r="I46" s="17"/>
      <c r="J46" s="17"/>
    </row>
    <row r="47" spans="1:10" ht="39.04" customHeight="1">
      <c r="A47" s="17" t="s">
        <v>42</v>
      </c>
      <c r="B47" s="17"/>
      <c r="C47" s="17"/>
      <c r="D47" s="17"/>
      <c r="E47" s="17"/>
      <c r="F47" s="17"/>
      <c r="G47" s="17"/>
      <c r="H47" s="17"/>
      <c r="I47" s="17"/>
      <c r="J47" s="17"/>
    </row>
    <row r="48" spans="1:10" ht="39.04" customHeight="1">
      <c r="A48" s="17" t="s">
        <v>43</v>
      </c>
      <c r="B48" s="17"/>
      <c r="C48" s="17"/>
      <c r="D48" s="17"/>
      <c r="E48" s="17"/>
      <c r="F48" s="17"/>
      <c r="G48" s="17"/>
      <c r="H48" s="17"/>
      <c r="I48" s="17"/>
      <c r="J48" s="17"/>
    </row>
  </sheetData>
  <mergeCells count="20">
    <mergeCell ref="G4:J4"/>
    <mergeCell ref="G5:J5"/>
    <mergeCell ref="G6:J6"/>
    <mergeCell ref="G7:J7"/>
    <mergeCell ref="G8:J8"/>
    <mergeCell ref="G9:J9"/>
    <mergeCell ref="G10:J10"/>
    <mergeCell ref="G11:J11"/>
    <mergeCell ref="G12:J12"/>
    <mergeCell ref="G13:J13"/>
    <mergeCell ref="G14:J14"/>
    <mergeCell ref="G15:J15"/>
    <mergeCell ref="G16:J16"/>
    <mergeCell ref="A18:J18"/>
    <mergeCell ref="A29:J29"/>
    <mergeCell ref="A44:J44"/>
    <mergeCell ref="A45:J45"/>
    <mergeCell ref="A46:J46"/>
    <mergeCell ref="A47:J47"/>
    <mergeCell ref="A48:J48"/>
  </mergeCells>
  <pageMargins left="0.7" right="0.7" top="0.75" bottom="0.75" header="0.3" footer="0.3"/>
  <pageSetup paperSize="9"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G56"/>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34.7109375" customWidth="1"/>
    <col min="2" max="2" width="24.7109375" customWidth="1"/>
    <col min="3" max="6" width="17.7109375" customWidth="1"/>
    <col min="7" max="7" width="56.7109375" customWidth="1"/>
    <col min="8" max="8" width="20.7109375" customWidth="1"/>
  </cols>
  <sheetData>
    <row r="1" spans="1:7" ht="30" customHeight="1">
      <c r="A1" s="19" t="s">
        <v>44</v>
      </c>
    </row>
    <row r="2" spans="1:7">
      <c r="A2" s="20" t="s">
        <v>45</v>
      </c>
    </row>
    <row r="4" spans="1:7" ht="48" customHeight="1">
      <c r="A4" s="4" t="s">
        <v>2</v>
      </c>
      <c r="B4" s="4" t="s">
        <v>46</v>
      </c>
      <c r="C4" s="4" t="s">
        <v>47</v>
      </c>
      <c r="D4" s="4" t="s">
        <v>48</v>
      </c>
      <c r="E4" s="4" t="s">
        <v>49</v>
      </c>
      <c r="F4" s="4" t="s">
        <v>50</v>
      </c>
      <c r="G4" s="4" t="s">
        <v>51</v>
      </c>
    </row>
    <row r="5" spans="1:7">
      <c r="A5" s="30" t="s">
        <v>9</v>
      </c>
      <c r="B5" s="30" t="s">
        <v>52</v>
      </c>
      <c r="C5" s="41">
        <v>1020</v>
      </c>
      <c r="D5" s="42">
        <f>AVERAGE(D33:F33)</f>
        <v>0.9794117647058823</v>
      </c>
      <c r="E5" s="43">
        <f>STDEV(D33:F33)*100</f>
        <v>0.3534854191631349</v>
      </c>
      <c r="F5" s="44">
        <f>(D5-D5)*100</f>
        <v>0.0</v>
      </c>
      <c r="G5" s="30" t="s">
        <v>53</v>
      </c>
    </row>
    <row r="6" spans="1:7">
      <c r="A6" s="30" t="s">
        <v>9</v>
      </c>
      <c r="B6" s="30" t="s">
        <v>54</v>
      </c>
      <c r="C6" s="41">
        <v>780</v>
      </c>
      <c r="D6" s="42">
        <f>AVERAGE(D34:F34)</f>
        <v>0.9730769230769231</v>
      </c>
      <c r="E6" s="43">
        <f>STDEV(D34:F34)*100</f>
        <v>0.3391988860339207</v>
      </c>
      <c r="F6" s="44">
        <f>(D6-D6)*100</f>
        <v>0.0</v>
      </c>
      <c r="G6" s="30" t="s">
        <v>53</v>
      </c>
    </row>
    <row r="7" spans="1:7">
      <c r="A7" s="30" t="s">
        <v>9</v>
      </c>
      <c r="B7" s="30" t="s">
        <v>55</v>
      </c>
      <c r="C7" s="41">
        <v>600</v>
      </c>
      <c r="D7" s="42">
        <f>AVERAGE(D35:F35)</f>
        <v>0.9805555555555555</v>
      </c>
      <c r="E7" s="43">
        <f>STDEV(D35:F35)*100</f>
        <v>0.48112522432468646</v>
      </c>
      <c r="F7" s="44">
        <f>(D7-D7)*100</f>
        <v>0.0</v>
      </c>
      <c r="G7" s="30" t="s">
        <v>53</v>
      </c>
    </row>
    <row r="8" spans="1:7">
      <c r="A8" s="30" t="s">
        <v>9</v>
      </c>
      <c r="B8" s="30" t="s">
        <v>56</v>
      </c>
      <c r="C8" s="41">
        <v>360</v>
      </c>
      <c r="D8" s="42">
        <f>AVERAGE(D36:F36)</f>
        <v>0.975</v>
      </c>
      <c r="E8" s="43">
        <f>STDEV(D36:F36)*100</f>
        <v>0.7349309197401616</v>
      </c>
      <c r="F8" s="44">
        <f>(D8-D8)*100</f>
        <v>0.0</v>
      </c>
      <c r="G8" s="30" t="s">
        <v>53</v>
      </c>
    </row>
    <row r="9" spans="1:7">
      <c r="A9" s="45" t="s">
        <v>9</v>
      </c>
      <c r="B9" s="45" t="s">
        <v>57</v>
      </c>
      <c r="C9" s="46">
        <v>120</v>
      </c>
      <c r="D9" s="47">
        <f>AVERAGE(D37:F37)</f>
        <v>0.9500000000000001</v>
      </c>
      <c r="E9" s="48">
        <f>STDEV(D37:F37)*100</f>
        <v>2.2047927592204903</v>
      </c>
      <c r="F9" s="49">
        <f>(D9-D9)*100</f>
        <v>0.0</v>
      </c>
      <c r="G9" s="45" t="s">
        <v>58</v>
      </c>
    </row>
    <row r="10" spans="1:7">
      <c r="A10" s="45" t="s">
        <v>9</v>
      </c>
      <c r="B10" s="45" t="s">
        <v>59</v>
      </c>
      <c r="C10" s="46">
        <v>120</v>
      </c>
      <c r="D10" s="47">
        <f>AVERAGE(D38:F38)</f>
        <v>0.9805555555555556</v>
      </c>
      <c r="E10" s="48">
        <f>STDEV(D38:F38)*100</f>
        <v>1.924500897298752</v>
      </c>
      <c r="F10" s="49">
        <f>(D10-D10)*100</f>
        <v>0.0</v>
      </c>
      <c r="G10" s="45" t="s">
        <v>58</v>
      </c>
    </row>
    <row r="11" spans="1:7">
      <c r="A11" s="34" t="s">
        <v>13</v>
      </c>
      <c r="B11" s="34" t="s">
        <v>52</v>
      </c>
      <c r="C11" s="50">
        <v>1020</v>
      </c>
      <c r="D11" s="51">
        <f>AVERAGE(D39:F39)</f>
        <v>0.9866013071895425</v>
      </c>
      <c r="E11" s="52">
        <f>STDEV(D39:F39)*100</f>
        <v>0.49345323106345185</v>
      </c>
      <c r="F11" s="53">
        <f>(D11-D5)*100</f>
        <v>0.7189542483660216</v>
      </c>
      <c r="G11" s="34" t="s">
        <v>53</v>
      </c>
    </row>
    <row r="12" spans="1:7">
      <c r="A12" s="34" t="s">
        <v>13</v>
      </c>
      <c r="B12" s="34" t="s">
        <v>54</v>
      </c>
      <c r="C12" s="50">
        <v>780</v>
      </c>
      <c r="D12" s="51">
        <f>AVERAGE(D40:F40)</f>
        <v>0.97991452991453</v>
      </c>
      <c r="E12" s="52">
        <f>STDEV(D40:F40)*100</f>
        <v>0.41212182739286624</v>
      </c>
      <c r="F12" s="53">
        <f>(D12-D6)*100</f>
        <v>0.6837606837606924</v>
      </c>
      <c r="G12" s="34" t="s">
        <v>53</v>
      </c>
    </row>
    <row r="13" spans="1:7">
      <c r="A13" s="34" t="s">
        <v>13</v>
      </c>
      <c r="B13" s="34" t="s">
        <v>55</v>
      </c>
      <c r="C13" s="50">
        <v>600</v>
      </c>
      <c r="D13" s="51">
        <f>AVERAGE(D41:F41)</f>
        <v>0.985</v>
      </c>
      <c r="E13" s="52">
        <f>STDEV(D41:F41)*100</f>
        <v>0.33333333333332993</v>
      </c>
      <c r="F13" s="53">
        <f>(D13-D7)*100</f>
        <v>0.4444444444444473</v>
      </c>
      <c r="G13" s="34" t="s">
        <v>53</v>
      </c>
    </row>
    <row r="14" spans="1:7">
      <c r="A14" s="34" t="s">
        <v>13</v>
      </c>
      <c r="B14" s="34" t="s">
        <v>56</v>
      </c>
      <c r="C14" s="50">
        <v>360</v>
      </c>
      <c r="D14" s="51">
        <f>AVERAGE(D42:F42)</f>
        <v>0.9777777777777777</v>
      </c>
      <c r="E14" s="52">
        <f>STDEV(D42:F42)*100</f>
        <v>0.7349309197401616</v>
      </c>
      <c r="F14" s="53">
        <f>(D14-D8)*100</f>
        <v>0.2777777777777768</v>
      </c>
      <c r="G14" s="34" t="s">
        <v>53</v>
      </c>
    </row>
    <row r="15" spans="1:7">
      <c r="A15" s="45" t="s">
        <v>13</v>
      </c>
      <c r="B15" s="45" t="s">
        <v>57</v>
      </c>
      <c r="C15" s="46">
        <v>120</v>
      </c>
      <c r="D15" s="47">
        <f>AVERAGE(D43:F43)</f>
        <v>0.9500000000000001</v>
      </c>
      <c r="E15" s="48">
        <f>STDEV(D43:F43)*100</f>
        <v>0.8333333333333359</v>
      </c>
      <c r="F15" s="49">
        <f>(D15-D9)*100</f>
        <v>0.0</v>
      </c>
      <c r="G15" s="45" t="s">
        <v>58</v>
      </c>
    </row>
    <row r="16" spans="1:7">
      <c r="A16" s="45" t="s">
        <v>13</v>
      </c>
      <c r="B16" s="45" t="s">
        <v>59</v>
      </c>
      <c r="C16" s="46">
        <v>120</v>
      </c>
      <c r="D16" s="47">
        <f>AVERAGE(D44:F44)</f>
        <v>0.9833333333333334</v>
      </c>
      <c r="E16" s="48">
        <f>STDEV(D44:F44)*100</f>
        <v>0.8333333333333359</v>
      </c>
      <c r="F16" s="49">
        <f>(D16-D10)*100</f>
        <v>0.2777777777777768</v>
      </c>
      <c r="G16" s="45" t="s">
        <v>58</v>
      </c>
    </row>
    <row r="17" spans="1:7">
      <c r="A17" s="30" t="s">
        <v>17</v>
      </c>
      <c r="B17" s="30" t="s">
        <v>52</v>
      </c>
      <c r="C17" s="41">
        <v>1020</v>
      </c>
      <c r="D17" s="42">
        <f>AVERAGE(D45:F45)</f>
        <v>0.9794117647058823</v>
      </c>
      <c r="E17" s="43">
        <f>STDEV(D45:F45)*100</f>
        <v>0.3534854191631349</v>
      </c>
      <c r="F17" s="44">
        <f>(D17-D5)*100</f>
        <v>0.0</v>
      </c>
      <c r="G17" s="30" t="s">
        <v>53</v>
      </c>
    </row>
    <row r="18" spans="1:7">
      <c r="A18" s="30" t="s">
        <v>17</v>
      </c>
      <c r="B18" s="30" t="s">
        <v>54</v>
      </c>
      <c r="C18" s="41">
        <v>780</v>
      </c>
      <c r="D18" s="42">
        <f>AVERAGE(D46:F46)</f>
        <v>0.9726495726495726</v>
      </c>
      <c r="E18" s="43">
        <f>STDEV(D46:F46)*100</f>
        <v>0.3916731363210106</v>
      </c>
      <c r="F18" s="44">
        <f>(D18-D6)*100</f>
        <v>-0.04273504273504258</v>
      </c>
      <c r="G18" s="30" t="s">
        <v>53</v>
      </c>
    </row>
    <row r="19" spans="1:7">
      <c r="A19" s="30" t="s">
        <v>17</v>
      </c>
      <c r="B19" s="30" t="s">
        <v>55</v>
      </c>
      <c r="C19" s="41">
        <v>600</v>
      </c>
      <c r="D19" s="42">
        <f>AVERAGE(D47:F47)</f>
        <v>0.9805555555555555</v>
      </c>
      <c r="E19" s="43">
        <f>STDEV(D47:F47)*100</f>
        <v>0.48112522432468646</v>
      </c>
      <c r="F19" s="44">
        <f>(D19-D7)*100</f>
        <v>0.0</v>
      </c>
      <c r="G19" s="30" t="s">
        <v>53</v>
      </c>
    </row>
    <row r="20" spans="1:7">
      <c r="A20" s="30" t="s">
        <v>17</v>
      </c>
      <c r="B20" s="30" t="s">
        <v>56</v>
      </c>
      <c r="C20" s="41">
        <v>360</v>
      </c>
      <c r="D20" s="42">
        <f>AVERAGE(D48:F48)</f>
        <v>0.9759259259259259</v>
      </c>
      <c r="E20" s="43">
        <f>STDEV(D48:F48)*100</f>
        <v>0.6990587440065483</v>
      </c>
      <c r="F20" s="44">
        <f>(D20-D8)*100</f>
        <v>0.09259259259258856</v>
      </c>
      <c r="G20" s="30" t="s">
        <v>53</v>
      </c>
    </row>
    <row r="21" spans="1:7">
      <c r="A21" s="45" t="s">
        <v>17</v>
      </c>
      <c r="B21" s="45" t="s">
        <v>57</v>
      </c>
      <c r="C21" s="46">
        <v>120</v>
      </c>
      <c r="D21" s="47">
        <f>AVERAGE(D49:F49)</f>
        <v>0.9527777777777778</v>
      </c>
      <c r="E21" s="48">
        <f>STDEV(D49:F49)*100</f>
        <v>2.097176232019651</v>
      </c>
      <c r="F21" s="49">
        <f>(D21-D9)*100</f>
        <v>0.2777777777777768</v>
      </c>
      <c r="G21" s="45" t="s">
        <v>58</v>
      </c>
    </row>
    <row r="22" spans="1:7">
      <c r="A22" s="45" t="s">
        <v>17</v>
      </c>
      <c r="B22" s="45" t="s">
        <v>59</v>
      </c>
      <c r="C22" s="46">
        <v>120</v>
      </c>
      <c r="D22" s="47">
        <f>AVERAGE(D50:F50)</f>
        <v>0.9805555555555556</v>
      </c>
      <c r="E22" s="48">
        <f>STDEV(D50:F50)*100</f>
        <v>1.924500897298752</v>
      </c>
      <c r="F22" s="49">
        <f>(D22-D10)*100</f>
        <v>0.0</v>
      </c>
      <c r="G22" s="45" t="s">
        <v>58</v>
      </c>
    </row>
    <row r="23" spans="1:7">
      <c r="A23" s="34" t="s">
        <v>21</v>
      </c>
      <c r="B23" s="34" t="s">
        <v>52</v>
      </c>
      <c r="C23" s="50">
        <v>1020</v>
      </c>
      <c r="D23" s="51">
        <f>AVERAGE(D51:F51)</f>
        <v>0.984967320261438</v>
      </c>
      <c r="E23" s="52">
        <f>STDEV(D51:F51)*100</f>
        <v>0.49345323106345185</v>
      </c>
      <c r="F23" s="53">
        <f>(D23-D5)*100</f>
        <v>0.5555555555555647</v>
      </c>
      <c r="G23" s="34" t="s">
        <v>53</v>
      </c>
    </row>
    <row r="24" spans="1:7">
      <c r="A24" s="34" t="s">
        <v>21</v>
      </c>
      <c r="B24" s="34" t="s">
        <v>54</v>
      </c>
      <c r="C24" s="50">
        <v>780</v>
      </c>
      <c r="D24" s="51">
        <f>AVERAGE(D52:F52)</f>
        <v>0.9816239316239316</v>
      </c>
      <c r="E24" s="52">
        <f>STDEV(D52:F52)*100</f>
        <v>0.07401926528072099</v>
      </c>
      <c r="F24" s="53">
        <f>(D24-D6)*100</f>
        <v>0.8547008547008517</v>
      </c>
      <c r="G24" s="34" t="s">
        <v>53</v>
      </c>
    </row>
    <row r="25" spans="1:7">
      <c r="A25" s="34" t="s">
        <v>21</v>
      </c>
      <c r="B25" s="34" t="s">
        <v>55</v>
      </c>
      <c r="C25" s="50">
        <v>600</v>
      </c>
      <c r="D25" s="51">
        <f>AVERAGE(D53:F53)</f>
        <v>0.9811111111111112</v>
      </c>
      <c r="E25" s="52">
        <f>STDEV(D53:F53)*100</f>
        <v>0.6938886664887083</v>
      </c>
      <c r="F25" s="53">
        <f>(D25-D7)*100</f>
        <v>0.05555555555556424</v>
      </c>
      <c r="G25" s="34" t="s">
        <v>53</v>
      </c>
    </row>
    <row r="26" spans="1:7">
      <c r="A26" s="34" t="s">
        <v>21</v>
      </c>
      <c r="B26" s="34" t="s">
        <v>56</v>
      </c>
      <c r="C26" s="50">
        <v>360</v>
      </c>
      <c r="D26" s="51">
        <f>AVERAGE(D54:F54)</f>
        <v>0.975</v>
      </c>
      <c r="E26" s="52">
        <f>STDEV(D54:F54)*100</f>
        <v>0.48112522432468646</v>
      </c>
      <c r="F26" s="53">
        <f>(D26-D8)*100</f>
        <v>0.0</v>
      </c>
      <c r="G26" s="34" t="s">
        <v>53</v>
      </c>
    </row>
    <row r="27" spans="1:7">
      <c r="A27" s="45" t="s">
        <v>21</v>
      </c>
      <c r="B27" s="45" t="s">
        <v>57</v>
      </c>
      <c r="C27" s="46">
        <v>120</v>
      </c>
      <c r="D27" s="47">
        <f>AVERAGE(D55:F55)</f>
        <v>0.938888888888889</v>
      </c>
      <c r="E27" s="48">
        <f>STDEV(D55:F55)*100</f>
        <v>2.926570486903539</v>
      </c>
      <c r="F27" s="49">
        <f>(D27-D9)*100</f>
        <v>-1.1111111111111072</v>
      </c>
      <c r="G27" s="45" t="s">
        <v>58</v>
      </c>
    </row>
    <row r="28" spans="1:7">
      <c r="A28" s="45" t="s">
        <v>21</v>
      </c>
      <c r="B28" s="45" t="s">
        <v>59</v>
      </c>
      <c r="C28" s="46">
        <v>120</v>
      </c>
      <c r="D28" s="47">
        <f>AVERAGE(D56:F56)</f>
        <v>0.9722222222222222</v>
      </c>
      <c r="E28" s="48">
        <f>STDEV(D56:F56)*100</f>
        <v>0.48112522432468646</v>
      </c>
      <c r="F28" s="49">
        <f>(D28-D10)*100</f>
        <v>-0.8333333333333415</v>
      </c>
      <c r="G28" s="45" t="s">
        <v>58</v>
      </c>
    </row>
    <row r="30" spans="1:7" ht="34" customHeight="1">
      <c r="A30" s="17" t="s">
        <v>60</v>
      </c>
      <c r="B30" s="17"/>
      <c r="C30" s="17"/>
      <c r="D30" s="17"/>
      <c r="E30" s="17"/>
      <c r="F30" s="17"/>
      <c r="G30" s="17"/>
    </row>
    <row r="31" spans="1:7">
      <c r="A31" s="16" t="s">
        <v>61</v>
      </c>
      <c r="B31" s="16"/>
      <c r="C31" s="16"/>
      <c r="D31" s="16"/>
      <c r="E31" s="16"/>
      <c r="F31" s="16"/>
      <c r="G31" s="16"/>
    </row>
    <row r="32" spans="1:7">
      <c r="A32" s="4" t="s">
        <v>2</v>
      </c>
      <c r="B32" s="4" t="s">
        <v>46</v>
      </c>
      <c r="C32" s="4" t="s">
        <v>47</v>
      </c>
      <c r="D32" s="4" t="s">
        <v>62</v>
      </c>
      <c r="E32" s="4" t="s">
        <v>63</v>
      </c>
      <c r="F32" s="4" t="s">
        <v>64</v>
      </c>
      <c r="G32" s="4" t="s">
        <v>65</v>
      </c>
    </row>
    <row r="33" spans="1:7">
      <c r="A33" s="21" t="s">
        <v>9</v>
      </c>
      <c r="B33" s="21" t="s">
        <v>52</v>
      </c>
      <c r="C33" s="41">
        <v>1020</v>
      </c>
      <c r="D33" s="23">
        <f>1000/1020</f>
        <v>0.9803921568627451</v>
      </c>
      <c r="E33" s="23">
        <f>1002/1020</f>
        <v>0.9823529411764705</v>
      </c>
      <c r="F33" s="23">
        <f>995/1020</f>
        <v>0.9754901960784313</v>
      </c>
      <c r="G33" s="54" t="s">
        <v>66</v>
      </c>
    </row>
    <row r="34" spans="1:7">
      <c r="A34" s="21" t="s">
        <v>9</v>
      </c>
      <c r="B34" s="21" t="s">
        <v>54</v>
      </c>
      <c r="C34" s="41">
        <v>780</v>
      </c>
      <c r="D34" s="23">
        <f>758/780</f>
        <v>0.9717948717948718</v>
      </c>
      <c r="E34" s="23">
        <f>762/780</f>
        <v>0.9769230769230769</v>
      </c>
      <c r="F34" s="23">
        <f>757/780</f>
        <v>0.9705128205128205</v>
      </c>
      <c r="G34" s="54" t="s">
        <v>66</v>
      </c>
    </row>
    <row r="35" spans="1:7">
      <c r="A35" s="21" t="s">
        <v>9</v>
      </c>
      <c r="B35" s="21" t="s">
        <v>55</v>
      </c>
      <c r="C35" s="41">
        <v>600</v>
      </c>
      <c r="D35" s="23">
        <f>590/600</f>
        <v>0.9833333333333333</v>
      </c>
      <c r="E35" s="23">
        <f>590/600</f>
        <v>0.9833333333333333</v>
      </c>
      <c r="F35" s="23">
        <f>585/600</f>
        <v>0.975</v>
      </c>
      <c r="G35" s="54" t="s">
        <v>66</v>
      </c>
    </row>
    <row r="36" spans="1:7">
      <c r="A36" s="21" t="s">
        <v>9</v>
      </c>
      <c r="B36" s="21" t="s">
        <v>56</v>
      </c>
      <c r="C36" s="41">
        <v>360</v>
      </c>
      <c r="D36" s="23">
        <f>350/360</f>
        <v>0.9722222222222222</v>
      </c>
      <c r="E36" s="23">
        <f>349/360</f>
        <v>0.9694444444444444</v>
      </c>
      <c r="F36" s="23">
        <f>354/360</f>
        <v>0.9833333333333333</v>
      </c>
      <c r="G36" s="54" t="s">
        <v>66</v>
      </c>
    </row>
    <row r="37" spans="1:7">
      <c r="A37" s="55" t="s">
        <v>9</v>
      </c>
      <c r="B37" s="55" t="s">
        <v>57</v>
      </c>
      <c r="C37" s="46">
        <v>120</v>
      </c>
      <c r="D37" s="56">
        <f>112/120</f>
        <v>0.9333333333333333</v>
      </c>
      <c r="E37" s="56">
        <f>113/120</f>
        <v>0.9416666666666667</v>
      </c>
      <c r="F37" s="56">
        <f>117/120</f>
        <v>0.975</v>
      </c>
      <c r="G37" s="57" t="s">
        <v>66</v>
      </c>
    </row>
    <row r="38" spans="1:7">
      <c r="A38" s="55" t="s">
        <v>9</v>
      </c>
      <c r="B38" s="55" t="s">
        <v>59</v>
      </c>
      <c r="C38" s="46">
        <v>120</v>
      </c>
      <c r="D38" s="56">
        <f>115/120</f>
        <v>0.9583333333333334</v>
      </c>
      <c r="E38" s="56">
        <f>119/120</f>
        <v>0.9916666666666667</v>
      </c>
      <c r="F38" s="56">
        <f>119/120</f>
        <v>0.9916666666666667</v>
      </c>
      <c r="G38" s="57" t="s">
        <v>66</v>
      </c>
    </row>
    <row r="39" spans="1:7">
      <c r="A39" s="25" t="s">
        <v>13</v>
      </c>
      <c r="B39" s="25" t="s">
        <v>52</v>
      </c>
      <c r="C39" s="50">
        <v>1020</v>
      </c>
      <c r="D39" s="27">
        <f>1011/1020</f>
        <v>0.9911764705882353</v>
      </c>
      <c r="E39" s="27">
        <f>1007/1020</f>
        <v>0.9872549019607844</v>
      </c>
      <c r="F39" s="27">
        <f>1001/1020</f>
        <v>0.9813725490196078</v>
      </c>
      <c r="G39" s="58" t="s">
        <v>67</v>
      </c>
    </row>
    <row r="40" spans="1:7">
      <c r="A40" s="25" t="s">
        <v>13</v>
      </c>
      <c r="B40" s="25" t="s">
        <v>54</v>
      </c>
      <c r="C40" s="50">
        <v>780</v>
      </c>
      <c r="D40" s="27">
        <f>763/780</f>
        <v>0.9782051282051282</v>
      </c>
      <c r="E40" s="27">
        <f>768/780</f>
        <v>0.9846153846153847</v>
      </c>
      <c r="F40" s="27">
        <f>762/780</f>
        <v>0.9769230769230769</v>
      </c>
      <c r="G40" s="58" t="s">
        <v>67</v>
      </c>
    </row>
    <row r="41" spans="1:7">
      <c r="A41" s="25" t="s">
        <v>13</v>
      </c>
      <c r="B41" s="25" t="s">
        <v>55</v>
      </c>
      <c r="C41" s="50">
        <v>600</v>
      </c>
      <c r="D41" s="27">
        <f>591/600</f>
        <v>0.985</v>
      </c>
      <c r="E41" s="27">
        <f>589/600</f>
        <v>0.9816666666666667</v>
      </c>
      <c r="F41" s="27">
        <f>593/600</f>
        <v>0.9883333333333333</v>
      </c>
      <c r="G41" s="58" t="s">
        <v>67</v>
      </c>
    </row>
    <row r="42" spans="1:7">
      <c r="A42" s="25" t="s">
        <v>13</v>
      </c>
      <c r="B42" s="25" t="s">
        <v>56</v>
      </c>
      <c r="C42" s="50">
        <v>360</v>
      </c>
      <c r="D42" s="27">
        <f>349/360</f>
        <v>0.9694444444444444</v>
      </c>
      <c r="E42" s="27">
        <f>354/360</f>
        <v>0.9833333333333333</v>
      </c>
      <c r="F42" s="27">
        <f>353/360</f>
        <v>0.9805555555555555</v>
      </c>
      <c r="G42" s="58" t="s">
        <v>67</v>
      </c>
    </row>
    <row r="43" spans="1:7">
      <c r="A43" s="55" t="s">
        <v>13</v>
      </c>
      <c r="B43" s="55" t="s">
        <v>57</v>
      </c>
      <c r="C43" s="46">
        <v>120</v>
      </c>
      <c r="D43" s="56">
        <f>114/120</f>
        <v>0.95</v>
      </c>
      <c r="E43" s="56">
        <f>113/120</f>
        <v>0.9416666666666667</v>
      </c>
      <c r="F43" s="56">
        <f>115/120</f>
        <v>0.9583333333333334</v>
      </c>
      <c r="G43" s="57" t="s">
        <v>67</v>
      </c>
    </row>
    <row r="44" spans="1:7">
      <c r="A44" s="55" t="s">
        <v>13</v>
      </c>
      <c r="B44" s="55" t="s">
        <v>59</v>
      </c>
      <c r="C44" s="46">
        <v>120</v>
      </c>
      <c r="D44" s="56">
        <f>117/120</f>
        <v>0.975</v>
      </c>
      <c r="E44" s="56">
        <f>118/120</f>
        <v>0.9833333333333333</v>
      </c>
      <c r="F44" s="56">
        <f>119/120</f>
        <v>0.9916666666666667</v>
      </c>
      <c r="G44" s="57" t="s">
        <v>67</v>
      </c>
    </row>
    <row r="45" spans="1:7">
      <c r="A45" s="21" t="s">
        <v>17</v>
      </c>
      <c r="B45" s="21" t="s">
        <v>52</v>
      </c>
      <c r="C45" s="41">
        <v>1020</v>
      </c>
      <c r="D45" s="23">
        <f>1000/1020</f>
        <v>0.9803921568627451</v>
      </c>
      <c r="E45" s="23">
        <f>1002/1020</f>
        <v>0.9823529411764705</v>
      </c>
      <c r="F45" s="23">
        <f>995/1020</f>
        <v>0.9754901960784313</v>
      </c>
      <c r="G45" s="54" t="s">
        <v>68</v>
      </c>
    </row>
    <row r="46" spans="1:7">
      <c r="A46" s="21" t="s">
        <v>17</v>
      </c>
      <c r="B46" s="21" t="s">
        <v>54</v>
      </c>
      <c r="C46" s="41">
        <v>780</v>
      </c>
      <c r="D46" s="23">
        <f>758/780</f>
        <v>0.9717948717948718</v>
      </c>
      <c r="E46" s="23">
        <f>762/780</f>
        <v>0.9769230769230769</v>
      </c>
      <c r="F46" s="23">
        <f>756/780</f>
        <v>0.9692307692307692</v>
      </c>
      <c r="G46" s="54" t="s">
        <v>68</v>
      </c>
    </row>
    <row r="47" spans="1:7">
      <c r="A47" s="21" t="s">
        <v>17</v>
      </c>
      <c r="B47" s="21" t="s">
        <v>55</v>
      </c>
      <c r="C47" s="41">
        <v>600</v>
      </c>
      <c r="D47" s="23">
        <f>590/600</f>
        <v>0.9833333333333333</v>
      </c>
      <c r="E47" s="23">
        <f>590/600</f>
        <v>0.9833333333333333</v>
      </c>
      <c r="F47" s="23">
        <f>585/600</f>
        <v>0.975</v>
      </c>
      <c r="G47" s="54" t="s">
        <v>68</v>
      </c>
    </row>
    <row r="48" spans="1:7">
      <c r="A48" s="21" t="s">
        <v>17</v>
      </c>
      <c r="B48" s="21" t="s">
        <v>56</v>
      </c>
      <c r="C48" s="41">
        <v>360</v>
      </c>
      <c r="D48" s="23">
        <f>351/360</f>
        <v>0.975</v>
      </c>
      <c r="E48" s="23">
        <f>349/360</f>
        <v>0.9694444444444444</v>
      </c>
      <c r="F48" s="23">
        <f>354/360</f>
        <v>0.9833333333333333</v>
      </c>
      <c r="G48" s="54" t="s">
        <v>68</v>
      </c>
    </row>
    <row r="49" spans="1:7">
      <c r="A49" s="55" t="s">
        <v>17</v>
      </c>
      <c r="B49" s="55" t="s">
        <v>57</v>
      </c>
      <c r="C49" s="46">
        <v>120</v>
      </c>
      <c r="D49" s="56">
        <f>112/120</f>
        <v>0.9333333333333333</v>
      </c>
      <c r="E49" s="56">
        <f>114/120</f>
        <v>0.95</v>
      </c>
      <c r="F49" s="56">
        <f>117/120</f>
        <v>0.975</v>
      </c>
      <c r="G49" s="57" t="s">
        <v>68</v>
      </c>
    </row>
    <row r="50" spans="1:7">
      <c r="A50" s="55" t="s">
        <v>17</v>
      </c>
      <c r="B50" s="55" t="s">
        <v>59</v>
      </c>
      <c r="C50" s="46">
        <v>120</v>
      </c>
      <c r="D50" s="56">
        <f>115/120</f>
        <v>0.9583333333333334</v>
      </c>
      <c r="E50" s="56">
        <f>119/120</f>
        <v>0.9916666666666667</v>
      </c>
      <c r="F50" s="56">
        <f>119/120</f>
        <v>0.9916666666666667</v>
      </c>
      <c r="G50" s="57" t="s">
        <v>68</v>
      </c>
    </row>
    <row r="51" spans="1:7">
      <c r="A51" s="25" t="s">
        <v>21</v>
      </c>
      <c r="B51" s="25" t="s">
        <v>52</v>
      </c>
      <c r="C51" s="50">
        <v>1020</v>
      </c>
      <c r="D51" s="27">
        <f>1004/1020</f>
        <v>0.984313725490196</v>
      </c>
      <c r="E51" s="27">
        <f>1010/1020</f>
        <v>0.9901960784313726</v>
      </c>
      <c r="F51" s="27">
        <f>1000/1020</f>
        <v>0.9803921568627451</v>
      </c>
      <c r="G51" s="58" t="s">
        <v>69</v>
      </c>
    </row>
    <row r="52" spans="1:7">
      <c r="A52" s="25" t="s">
        <v>21</v>
      </c>
      <c r="B52" s="25" t="s">
        <v>54</v>
      </c>
      <c r="C52" s="50">
        <v>780</v>
      </c>
      <c r="D52" s="27">
        <f>766/780</f>
        <v>0.982051282051282</v>
      </c>
      <c r="E52" s="27">
        <f>765/780</f>
        <v>0.9807692307692307</v>
      </c>
      <c r="F52" s="27">
        <f>766/780</f>
        <v>0.982051282051282</v>
      </c>
      <c r="G52" s="58" t="s">
        <v>69</v>
      </c>
    </row>
    <row r="53" spans="1:7">
      <c r="A53" s="25" t="s">
        <v>21</v>
      </c>
      <c r="B53" s="25" t="s">
        <v>55</v>
      </c>
      <c r="C53" s="50">
        <v>600</v>
      </c>
      <c r="D53" s="27">
        <f>590/600</f>
        <v>0.9833333333333333</v>
      </c>
      <c r="E53" s="27">
        <f>592/600</f>
        <v>0.9866666666666667</v>
      </c>
      <c r="F53" s="27">
        <f>584/600</f>
        <v>0.9733333333333334</v>
      </c>
      <c r="G53" s="58" t="s">
        <v>69</v>
      </c>
    </row>
    <row r="54" spans="1:7">
      <c r="A54" s="25" t="s">
        <v>21</v>
      </c>
      <c r="B54" s="25" t="s">
        <v>56</v>
      </c>
      <c r="C54" s="50">
        <v>360</v>
      </c>
      <c r="D54" s="27">
        <f>350/360</f>
        <v>0.9722222222222222</v>
      </c>
      <c r="E54" s="27">
        <f>353/360</f>
        <v>0.9805555555555555</v>
      </c>
      <c r="F54" s="27">
        <f>350/360</f>
        <v>0.9722222222222222</v>
      </c>
      <c r="G54" s="58" t="s">
        <v>69</v>
      </c>
    </row>
    <row r="55" spans="1:7">
      <c r="A55" s="55" t="s">
        <v>21</v>
      </c>
      <c r="B55" s="55" t="s">
        <v>57</v>
      </c>
      <c r="C55" s="46">
        <v>120</v>
      </c>
      <c r="D55" s="56">
        <f>109/120</f>
        <v>0.9083333333333333</v>
      </c>
      <c r="E55" s="56">
        <f>113/120</f>
        <v>0.9416666666666667</v>
      </c>
      <c r="F55" s="56">
        <f>116/120</f>
        <v>0.9666666666666667</v>
      </c>
      <c r="G55" s="57" t="s">
        <v>69</v>
      </c>
    </row>
    <row r="56" spans="1:7">
      <c r="A56" s="55" t="s">
        <v>21</v>
      </c>
      <c r="B56" s="55" t="s">
        <v>59</v>
      </c>
      <c r="C56" s="46">
        <v>120</v>
      </c>
      <c r="D56" s="56">
        <f>117/120</f>
        <v>0.975</v>
      </c>
      <c r="E56" s="56">
        <f>116/120</f>
        <v>0.9666666666666667</v>
      </c>
      <c r="F56" s="56">
        <f>117/120</f>
        <v>0.975</v>
      </c>
      <c r="G56" s="57" t="s">
        <v>69</v>
      </c>
    </row>
  </sheetData>
  <mergeCells count="2">
    <mergeCell ref="A30:G30"/>
    <mergeCell ref="A31:G31"/>
  </mergeCells>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F50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4.7109375" customWidth="1"/>
    <col min="2" max="5" width="17.7109375" customWidth="1"/>
    <col min="6" max="6" width="20.7109375" customWidth="1"/>
  </cols>
  <sheetData>
    <row r="1" spans="1:6" ht="30" customHeight="1">
      <c r="A1" s="19" t="s">
        <v>70</v>
      </c>
    </row>
    <row r="2" spans="1:6">
      <c r="A2" s="20" t="s">
        <v>71</v>
      </c>
    </row>
    <row r="4" spans="1:6" ht="34" customHeight="1">
      <c r="A4" s="4" t="s">
        <v>2</v>
      </c>
      <c r="B4" s="4" t="s">
        <v>72</v>
      </c>
      <c r="C4" s="4" t="s">
        <v>73</v>
      </c>
      <c r="D4" s="4" t="s">
        <v>74</v>
      </c>
      <c r="E4" s="4" t="s">
        <v>75</v>
      </c>
      <c r="F4" s="4" t="s">
        <v>76</v>
      </c>
    </row>
    <row r="5" spans="1:6">
      <c r="A5" t="s">
        <v>9</v>
      </c>
      <c r="B5">
        <v>1</v>
      </c>
      <c r="C5">
        <v>1</v>
      </c>
      <c r="D5">
        <v>1750</v>
      </c>
      <c r="E5" s="59">
        <v>5.822117999969123</v>
      </c>
      <c r="F5">
        <v>0</v>
      </c>
    </row>
    <row r="6" spans="1:6">
      <c r="A6" t="s">
        <v>9</v>
      </c>
      <c r="B6">
        <v>1</v>
      </c>
      <c r="C6">
        <v>2</v>
      </c>
      <c r="D6">
        <v>98</v>
      </c>
      <c r="E6" s="59">
        <v>5.491659999961485</v>
      </c>
      <c r="F6">
        <v>1</v>
      </c>
    </row>
    <row r="7" spans="1:6">
      <c r="A7" t="s">
        <v>9</v>
      </c>
      <c r="B7">
        <v>1</v>
      </c>
      <c r="C7">
        <v>3</v>
      </c>
      <c r="D7">
        <v>141</v>
      </c>
      <c r="E7" s="59">
        <v>5.3220579999333495</v>
      </c>
      <c r="F7">
        <v>2</v>
      </c>
    </row>
    <row r="8" spans="1:6">
      <c r="A8" t="s">
        <v>9</v>
      </c>
      <c r="B8">
        <v>1</v>
      </c>
      <c r="C8">
        <v>4</v>
      </c>
      <c r="D8">
        <v>2106</v>
      </c>
      <c r="E8" s="59">
        <v>4.940853999983119</v>
      </c>
      <c r="F8">
        <v>3</v>
      </c>
    </row>
    <row r="9" spans="1:6">
      <c r="A9" t="s">
        <v>9</v>
      </c>
      <c r="B9">
        <v>1</v>
      </c>
      <c r="C9">
        <v>5</v>
      </c>
      <c r="D9">
        <v>1242</v>
      </c>
      <c r="E9" s="59">
        <v>5.127060000063466</v>
      </c>
      <c r="F9">
        <v>4</v>
      </c>
    </row>
    <row r="10" spans="1:6">
      <c r="A10" t="s">
        <v>9</v>
      </c>
      <c r="B10">
        <v>1</v>
      </c>
      <c r="C10">
        <v>6</v>
      </c>
      <c r="D10">
        <v>993</v>
      </c>
      <c r="E10" s="59">
        <v>5.248679000033008</v>
      </c>
      <c r="F10">
        <v>5</v>
      </c>
    </row>
    <row r="11" spans="1:6">
      <c r="A11" t="s">
        <v>9</v>
      </c>
      <c r="B11">
        <v>1</v>
      </c>
      <c r="C11">
        <v>7</v>
      </c>
      <c r="D11">
        <v>995</v>
      </c>
      <c r="E11" s="59">
        <v>5.052497000065159</v>
      </c>
      <c r="F11">
        <v>6</v>
      </c>
    </row>
    <row r="12" spans="1:6">
      <c r="A12" t="s">
        <v>9</v>
      </c>
      <c r="B12">
        <v>1</v>
      </c>
      <c r="C12">
        <v>8</v>
      </c>
      <c r="D12">
        <v>663</v>
      </c>
      <c r="E12" s="59">
        <v>5.246636000038052</v>
      </c>
      <c r="F12">
        <v>7</v>
      </c>
    </row>
    <row r="13" spans="1:6">
      <c r="A13" t="s">
        <v>9</v>
      </c>
      <c r="B13">
        <v>1</v>
      </c>
      <c r="C13">
        <v>9</v>
      </c>
      <c r="D13">
        <v>37</v>
      </c>
      <c r="E13" s="59">
        <v>5.230170999993788</v>
      </c>
      <c r="F13">
        <v>8</v>
      </c>
    </row>
    <row r="14" spans="1:6">
      <c r="A14" t="s">
        <v>9</v>
      </c>
      <c r="B14">
        <v>1</v>
      </c>
      <c r="C14">
        <v>10</v>
      </c>
      <c r="D14">
        <v>4</v>
      </c>
      <c r="E14" s="59">
        <v>5.107522999992398</v>
      </c>
      <c r="F14">
        <v>9</v>
      </c>
    </row>
    <row r="15" spans="1:6">
      <c r="A15" t="s">
        <v>9</v>
      </c>
      <c r="B15">
        <v>1</v>
      </c>
      <c r="C15">
        <v>11</v>
      </c>
      <c r="D15">
        <v>2311</v>
      </c>
      <c r="E15" s="59">
        <v>5.029960000001665</v>
      </c>
      <c r="F15">
        <v>10</v>
      </c>
    </row>
    <row r="16" spans="1:6">
      <c r="A16" t="s">
        <v>9</v>
      </c>
      <c r="B16">
        <v>1</v>
      </c>
      <c r="C16">
        <v>12</v>
      </c>
      <c r="D16">
        <v>289</v>
      </c>
      <c r="E16" s="59">
        <v>5.2383679999366</v>
      </c>
      <c r="F16">
        <v>11</v>
      </c>
    </row>
    <row r="17" spans="1:6">
      <c r="A17" t="s">
        <v>9</v>
      </c>
      <c r="B17">
        <v>1</v>
      </c>
      <c r="C17">
        <v>13</v>
      </c>
      <c r="D17">
        <v>1130</v>
      </c>
      <c r="E17" s="59">
        <v>5.229047000057108</v>
      </c>
      <c r="F17">
        <v>12</v>
      </c>
    </row>
    <row r="18" spans="1:6">
      <c r="A18" t="s">
        <v>9</v>
      </c>
      <c r="B18">
        <v>1</v>
      </c>
      <c r="C18">
        <v>14</v>
      </c>
      <c r="D18">
        <v>2589</v>
      </c>
      <c r="E18" s="59">
        <v>5.283177000023898</v>
      </c>
      <c r="F18">
        <v>13</v>
      </c>
    </row>
    <row r="19" spans="1:6">
      <c r="A19" t="s">
        <v>9</v>
      </c>
      <c r="B19">
        <v>1</v>
      </c>
      <c r="C19">
        <v>15</v>
      </c>
      <c r="D19">
        <v>1868</v>
      </c>
      <c r="E19" s="59">
        <v>5.201943000088249</v>
      </c>
      <c r="F19">
        <v>14</v>
      </c>
    </row>
    <row r="20" spans="1:6">
      <c r="A20" t="s">
        <v>9</v>
      </c>
      <c r="B20">
        <v>1</v>
      </c>
      <c r="C20">
        <v>16</v>
      </c>
      <c r="D20">
        <v>1296</v>
      </c>
      <c r="E20" s="59">
        <v>5.181052000011732</v>
      </c>
      <c r="F20">
        <v>15</v>
      </c>
    </row>
    <row r="21" spans="1:6">
      <c r="A21" t="s">
        <v>9</v>
      </c>
      <c r="B21">
        <v>1</v>
      </c>
      <c r="C21">
        <v>17</v>
      </c>
      <c r="D21">
        <v>1144</v>
      </c>
      <c r="E21" s="59">
        <v>5.267000999992888</v>
      </c>
      <c r="F21">
        <v>16</v>
      </c>
    </row>
    <row r="22" spans="1:6">
      <c r="A22" t="s">
        <v>9</v>
      </c>
      <c r="B22">
        <v>1</v>
      </c>
      <c r="C22">
        <v>18</v>
      </c>
      <c r="D22">
        <v>1881</v>
      </c>
      <c r="E22" s="59">
        <v>5.374372999995103</v>
      </c>
      <c r="F22">
        <v>17</v>
      </c>
    </row>
    <row r="23" spans="1:6">
      <c r="A23" t="s">
        <v>9</v>
      </c>
      <c r="B23">
        <v>1</v>
      </c>
      <c r="C23">
        <v>19</v>
      </c>
      <c r="D23">
        <v>686</v>
      </c>
      <c r="E23" s="59">
        <v>5.241001999934269</v>
      </c>
      <c r="F23">
        <v>18</v>
      </c>
    </row>
    <row r="24" spans="1:6">
      <c r="A24" t="s">
        <v>9</v>
      </c>
      <c r="B24">
        <v>1</v>
      </c>
      <c r="C24">
        <v>20</v>
      </c>
      <c r="D24">
        <v>1698</v>
      </c>
      <c r="E24" s="59">
        <v>5.227560999969683</v>
      </c>
      <c r="F24">
        <v>19</v>
      </c>
    </row>
    <row r="25" spans="1:6">
      <c r="A25" t="s">
        <v>9</v>
      </c>
      <c r="B25">
        <v>1</v>
      </c>
      <c r="C25">
        <v>21</v>
      </c>
      <c r="D25">
        <v>2358</v>
      </c>
      <c r="E25" s="59">
        <v>5.69066599996404</v>
      </c>
      <c r="F25">
        <v>20</v>
      </c>
    </row>
    <row r="26" spans="1:6">
      <c r="A26" t="s">
        <v>9</v>
      </c>
      <c r="B26">
        <v>1</v>
      </c>
      <c r="C26">
        <v>22</v>
      </c>
      <c r="D26">
        <v>1246</v>
      </c>
      <c r="E26" s="59">
        <v>5.474982000009732</v>
      </c>
      <c r="F26">
        <v>21</v>
      </c>
    </row>
    <row r="27" spans="1:6">
      <c r="A27" t="s">
        <v>9</v>
      </c>
      <c r="B27">
        <v>1</v>
      </c>
      <c r="C27">
        <v>23</v>
      </c>
      <c r="D27">
        <v>1046</v>
      </c>
      <c r="E27" s="59">
        <v>6.342391000089265</v>
      </c>
      <c r="F27">
        <v>22</v>
      </c>
    </row>
    <row r="28" spans="1:6">
      <c r="A28" t="s">
        <v>9</v>
      </c>
      <c r="B28">
        <v>1</v>
      </c>
      <c r="C28">
        <v>24</v>
      </c>
      <c r="D28">
        <v>399</v>
      </c>
      <c r="E28" s="59">
        <v>6.490797999958886</v>
      </c>
      <c r="F28">
        <v>23</v>
      </c>
    </row>
    <row r="29" spans="1:6">
      <c r="A29" t="s">
        <v>9</v>
      </c>
      <c r="B29">
        <v>1</v>
      </c>
      <c r="C29">
        <v>25</v>
      </c>
      <c r="D29">
        <v>1263</v>
      </c>
      <c r="E29" s="59">
        <v>5.2900729999691976</v>
      </c>
      <c r="F29">
        <v>24</v>
      </c>
    </row>
    <row r="30" spans="1:6">
      <c r="A30" t="s">
        <v>9</v>
      </c>
      <c r="B30">
        <v>1</v>
      </c>
      <c r="C30">
        <v>26</v>
      </c>
      <c r="D30">
        <v>2211</v>
      </c>
      <c r="E30" s="59">
        <v>5.181977000006555</v>
      </c>
      <c r="F30">
        <v>25</v>
      </c>
    </row>
    <row r="31" spans="1:6">
      <c r="A31" t="s">
        <v>9</v>
      </c>
      <c r="B31">
        <v>1</v>
      </c>
      <c r="C31">
        <v>27</v>
      </c>
      <c r="D31">
        <v>1651</v>
      </c>
      <c r="E31" s="59">
        <v>5.22229300008803</v>
      </c>
      <c r="F31">
        <v>26</v>
      </c>
    </row>
    <row r="32" spans="1:6">
      <c r="A32" t="s">
        <v>9</v>
      </c>
      <c r="B32">
        <v>1</v>
      </c>
      <c r="C32">
        <v>28</v>
      </c>
      <c r="D32">
        <v>2393</v>
      </c>
      <c r="E32" s="59">
        <v>5.274898000038775</v>
      </c>
      <c r="F32">
        <v>27</v>
      </c>
    </row>
    <row r="33" spans="1:6">
      <c r="A33" t="s">
        <v>9</v>
      </c>
      <c r="B33">
        <v>1</v>
      </c>
      <c r="C33">
        <v>29</v>
      </c>
      <c r="D33">
        <v>692</v>
      </c>
      <c r="E33" s="59">
        <v>5.147671999907288</v>
      </c>
      <c r="F33">
        <v>28</v>
      </c>
    </row>
    <row r="34" spans="1:6">
      <c r="A34" t="s">
        <v>9</v>
      </c>
      <c r="B34">
        <v>1</v>
      </c>
      <c r="C34">
        <v>30</v>
      </c>
      <c r="D34">
        <v>155</v>
      </c>
      <c r="E34" s="59">
        <v>5.06766500006961</v>
      </c>
      <c r="F34">
        <v>29</v>
      </c>
    </row>
    <row r="35" spans="1:6">
      <c r="A35" t="s">
        <v>9</v>
      </c>
      <c r="B35">
        <v>1</v>
      </c>
      <c r="C35">
        <v>31</v>
      </c>
      <c r="D35">
        <v>1529</v>
      </c>
      <c r="E35" s="59">
        <v>5.206820000012158</v>
      </c>
      <c r="F35">
        <v>30</v>
      </c>
    </row>
    <row r="36" spans="1:6">
      <c r="A36" t="s">
        <v>9</v>
      </c>
      <c r="B36">
        <v>1</v>
      </c>
      <c r="C36">
        <v>32</v>
      </c>
      <c r="D36">
        <v>1103</v>
      </c>
      <c r="E36" s="59">
        <v>4.953174000092986</v>
      </c>
      <c r="F36">
        <v>31</v>
      </c>
    </row>
    <row r="37" spans="1:6">
      <c r="A37" t="s">
        <v>9</v>
      </c>
      <c r="B37">
        <v>1</v>
      </c>
      <c r="C37">
        <v>33</v>
      </c>
      <c r="D37">
        <v>2506</v>
      </c>
      <c r="E37" s="59">
        <v>5.491365000011683</v>
      </c>
      <c r="F37">
        <v>32</v>
      </c>
    </row>
    <row r="38" spans="1:6">
      <c r="A38" t="s">
        <v>9</v>
      </c>
      <c r="B38">
        <v>1</v>
      </c>
      <c r="C38">
        <v>34</v>
      </c>
      <c r="D38">
        <v>1092</v>
      </c>
      <c r="E38" s="59">
        <v>4.950137000037103</v>
      </c>
      <c r="F38">
        <v>33</v>
      </c>
    </row>
    <row r="39" spans="1:6">
      <c r="A39" t="s">
        <v>9</v>
      </c>
      <c r="B39">
        <v>1</v>
      </c>
      <c r="C39">
        <v>35</v>
      </c>
      <c r="D39">
        <v>916</v>
      </c>
      <c r="E39" s="59">
        <v>5.191023999941535</v>
      </c>
      <c r="F39">
        <v>34</v>
      </c>
    </row>
    <row r="40" spans="1:6">
      <c r="A40" t="s">
        <v>9</v>
      </c>
      <c r="B40">
        <v>1</v>
      </c>
      <c r="C40">
        <v>36</v>
      </c>
      <c r="D40">
        <v>2953</v>
      </c>
      <c r="E40" s="59">
        <v>4.987138999922536</v>
      </c>
      <c r="F40">
        <v>35</v>
      </c>
    </row>
    <row r="41" spans="1:6">
      <c r="A41" t="s">
        <v>9</v>
      </c>
      <c r="B41">
        <v>1</v>
      </c>
      <c r="C41">
        <v>37</v>
      </c>
      <c r="D41">
        <v>2132</v>
      </c>
      <c r="E41" s="59">
        <v>5.103026000028876</v>
      </c>
      <c r="F41">
        <v>36</v>
      </c>
    </row>
    <row r="42" spans="1:6">
      <c r="A42" t="s">
        <v>9</v>
      </c>
      <c r="B42">
        <v>1</v>
      </c>
      <c r="C42">
        <v>38</v>
      </c>
      <c r="D42">
        <v>1122</v>
      </c>
      <c r="E42" s="59">
        <v>5.012203000092086</v>
      </c>
      <c r="F42">
        <v>37</v>
      </c>
    </row>
    <row r="43" spans="1:6">
      <c r="A43" t="s">
        <v>9</v>
      </c>
      <c r="B43">
        <v>1</v>
      </c>
      <c r="C43">
        <v>39</v>
      </c>
      <c r="D43">
        <v>1639</v>
      </c>
      <c r="E43" s="59">
        <v>4.940156999964529</v>
      </c>
      <c r="F43">
        <v>38</v>
      </c>
    </row>
    <row r="44" spans="1:6">
      <c r="A44" t="s">
        <v>9</v>
      </c>
      <c r="B44">
        <v>1</v>
      </c>
      <c r="C44">
        <v>40</v>
      </c>
      <c r="D44">
        <v>1605</v>
      </c>
      <c r="E44" s="59">
        <v>5.388706000076127</v>
      </c>
      <c r="F44">
        <v>39</v>
      </c>
    </row>
    <row r="45" spans="1:6">
      <c r="A45" t="s">
        <v>9</v>
      </c>
      <c r="B45">
        <v>1</v>
      </c>
      <c r="C45">
        <v>41</v>
      </c>
      <c r="D45">
        <v>1760</v>
      </c>
      <c r="E45" s="59">
        <v>5.377807000058965</v>
      </c>
      <c r="F45">
        <v>40</v>
      </c>
    </row>
    <row r="46" spans="1:6">
      <c r="A46" t="s">
        <v>9</v>
      </c>
      <c r="B46">
        <v>1</v>
      </c>
      <c r="C46">
        <v>42</v>
      </c>
      <c r="D46">
        <v>1202</v>
      </c>
      <c r="E46" s="59">
        <v>5.314365000003818</v>
      </c>
      <c r="F46">
        <v>41</v>
      </c>
    </row>
    <row r="47" spans="1:6">
      <c r="A47" t="s">
        <v>9</v>
      </c>
      <c r="B47">
        <v>1</v>
      </c>
      <c r="C47">
        <v>43</v>
      </c>
      <c r="D47">
        <v>1115</v>
      </c>
      <c r="E47" s="59">
        <v>5.2356859999918015</v>
      </c>
      <c r="F47">
        <v>42</v>
      </c>
    </row>
    <row r="48" spans="1:6">
      <c r="A48" t="s">
        <v>9</v>
      </c>
      <c r="B48">
        <v>1</v>
      </c>
      <c r="C48">
        <v>44</v>
      </c>
      <c r="D48">
        <v>2660</v>
      </c>
      <c r="E48" s="59">
        <v>5.303163000007771</v>
      </c>
      <c r="F48">
        <v>43</v>
      </c>
    </row>
    <row r="49" spans="1:6">
      <c r="A49" t="s">
        <v>9</v>
      </c>
      <c r="B49">
        <v>1</v>
      </c>
      <c r="C49">
        <v>45</v>
      </c>
      <c r="D49">
        <v>1170</v>
      </c>
      <c r="E49" s="59">
        <v>5.154837999953088</v>
      </c>
      <c r="F49">
        <v>44</v>
      </c>
    </row>
    <row r="50" spans="1:6">
      <c r="A50" t="s">
        <v>9</v>
      </c>
      <c r="B50">
        <v>1</v>
      </c>
      <c r="C50">
        <v>46</v>
      </c>
      <c r="D50">
        <v>2387</v>
      </c>
      <c r="E50" s="59">
        <v>5.157869000072424</v>
      </c>
      <c r="F50">
        <v>45</v>
      </c>
    </row>
    <row r="51" spans="1:6">
      <c r="A51" t="s">
        <v>9</v>
      </c>
      <c r="B51">
        <v>1</v>
      </c>
      <c r="C51">
        <v>47</v>
      </c>
      <c r="D51">
        <v>288</v>
      </c>
      <c r="E51" s="59">
        <v>5.0071980000439</v>
      </c>
      <c r="F51">
        <v>46</v>
      </c>
    </row>
    <row r="52" spans="1:6">
      <c r="A52" t="s">
        <v>9</v>
      </c>
      <c r="B52">
        <v>1</v>
      </c>
      <c r="C52">
        <v>48</v>
      </c>
      <c r="D52">
        <v>1464</v>
      </c>
      <c r="E52" s="59">
        <v>5.494357000088712</v>
      </c>
      <c r="F52">
        <v>47</v>
      </c>
    </row>
    <row r="53" spans="1:6">
      <c r="A53" t="s">
        <v>9</v>
      </c>
      <c r="B53">
        <v>1</v>
      </c>
      <c r="C53">
        <v>49</v>
      </c>
      <c r="D53">
        <v>2212</v>
      </c>
      <c r="E53" s="59">
        <v>4.903252000076464</v>
      </c>
      <c r="F53">
        <v>48</v>
      </c>
    </row>
    <row r="54" spans="1:6">
      <c r="A54" t="s">
        <v>9</v>
      </c>
      <c r="B54">
        <v>1</v>
      </c>
      <c r="C54">
        <v>50</v>
      </c>
      <c r="D54">
        <v>223</v>
      </c>
      <c r="E54" s="59">
        <v>5.227700999967055</v>
      </c>
      <c r="F54">
        <v>49</v>
      </c>
    </row>
    <row r="55" spans="1:6">
      <c r="A55" t="s">
        <v>9</v>
      </c>
      <c r="B55">
        <v>1</v>
      </c>
      <c r="C55">
        <v>51</v>
      </c>
      <c r="D55">
        <v>2578</v>
      </c>
      <c r="E55" s="59">
        <v>5.0695569999561485</v>
      </c>
      <c r="F55">
        <v>50</v>
      </c>
    </row>
    <row r="56" spans="1:6">
      <c r="A56" t="s">
        <v>9</v>
      </c>
      <c r="B56">
        <v>1</v>
      </c>
      <c r="C56">
        <v>52</v>
      </c>
      <c r="D56">
        <v>2884</v>
      </c>
      <c r="E56" s="59">
        <v>5.186300999980631</v>
      </c>
      <c r="F56">
        <v>51</v>
      </c>
    </row>
    <row r="57" spans="1:6">
      <c r="A57" t="s">
        <v>9</v>
      </c>
      <c r="B57">
        <v>1</v>
      </c>
      <c r="C57">
        <v>53</v>
      </c>
      <c r="D57">
        <v>1610</v>
      </c>
      <c r="E57" s="59">
        <v>5.3241839999600415</v>
      </c>
      <c r="F57">
        <v>52</v>
      </c>
    </row>
    <row r="58" spans="1:6">
      <c r="A58" t="s">
        <v>9</v>
      </c>
      <c r="B58">
        <v>1</v>
      </c>
      <c r="C58">
        <v>54</v>
      </c>
      <c r="D58">
        <v>1175</v>
      </c>
      <c r="E58" s="59">
        <v>5.456448000018099</v>
      </c>
      <c r="F58">
        <v>53</v>
      </c>
    </row>
    <row r="59" spans="1:6">
      <c r="A59" t="s">
        <v>9</v>
      </c>
      <c r="B59">
        <v>1</v>
      </c>
      <c r="C59">
        <v>55</v>
      </c>
      <c r="D59">
        <v>1467</v>
      </c>
      <c r="E59" s="59">
        <v>5.256584999983716</v>
      </c>
      <c r="F59">
        <v>54</v>
      </c>
    </row>
    <row r="60" spans="1:6">
      <c r="A60" t="s">
        <v>9</v>
      </c>
      <c r="B60">
        <v>1</v>
      </c>
      <c r="C60">
        <v>56</v>
      </c>
      <c r="D60">
        <v>1757</v>
      </c>
      <c r="E60" s="59">
        <v>5.082988000026489</v>
      </c>
      <c r="F60">
        <v>55</v>
      </c>
    </row>
    <row r="61" spans="1:6">
      <c r="A61" t="s">
        <v>9</v>
      </c>
      <c r="B61">
        <v>1</v>
      </c>
      <c r="C61">
        <v>57</v>
      </c>
      <c r="D61">
        <v>2114</v>
      </c>
      <c r="E61" s="59">
        <v>5.083366999997452</v>
      </c>
      <c r="F61">
        <v>56</v>
      </c>
    </row>
    <row r="62" spans="1:6">
      <c r="A62" t="s">
        <v>9</v>
      </c>
      <c r="B62">
        <v>1</v>
      </c>
      <c r="C62">
        <v>58</v>
      </c>
      <c r="D62">
        <v>773</v>
      </c>
      <c r="E62" s="59">
        <v>4.981024000016987</v>
      </c>
      <c r="F62">
        <v>57</v>
      </c>
    </row>
    <row r="63" spans="1:6">
      <c r="A63" t="s">
        <v>9</v>
      </c>
      <c r="B63">
        <v>1</v>
      </c>
      <c r="C63">
        <v>59</v>
      </c>
      <c r="D63">
        <v>470</v>
      </c>
      <c r="E63" s="59">
        <v>5.52006700002039</v>
      </c>
      <c r="F63">
        <v>58</v>
      </c>
    </row>
    <row r="64" spans="1:6">
      <c r="A64" t="s">
        <v>9</v>
      </c>
      <c r="B64">
        <v>1</v>
      </c>
      <c r="C64">
        <v>60</v>
      </c>
      <c r="D64">
        <v>872</v>
      </c>
      <c r="E64" s="59">
        <v>5.206058999988272</v>
      </c>
      <c r="F64">
        <v>59</v>
      </c>
    </row>
    <row r="65" spans="1:6">
      <c r="A65" t="s">
        <v>9</v>
      </c>
      <c r="B65">
        <v>1</v>
      </c>
      <c r="C65">
        <v>61</v>
      </c>
      <c r="D65">
        <v>2268</v>
      </c>
      <c r="E65" s="59">
        <v>5.073114999959216</v>
      </c>
      <c r="F65">
        <v>60</v>
      </c>
    </row>
    <row r="66" spans="1:6">
      <c r="A66" t="s">
        <v>9</v>
      </c>
      <c r="B66">
        <v>1</v>
      </c>
      <c r="C66">
        <v>62</v>
      </c>
      <c r="D66">
        <v>2716</v>
      </c>
      <c r="E66" s="59">
        <v>5.071029000077942</v>
      </c>
      <c r="F66">
        <v>61</v>
      </c>
    </row>
    <row r="67" spans="1:6">
      <c r="A67" t="s">
        <v>9</v>
      </c>
      <c r="B67">
        <v>1</v>
      </c>
      <c r="C67">
        <v>63</v>
      </c>
      <c r="D67">
        <v>2533</v>
      </c>
      <c r="E67" s="59">
        <v>5.608502999962184</v>
      </c>
      <c r="F67">
        <v>62</v>
      </c>
    </row>
    <row r="68" spans="1:6">
      <c r="A68" t="s">
        <v>9</v>
      </c>
      <c r="B68">
        <v>1</v>
      </c>
      <c r="C68">
        <v>64</v>
      </c>
      <c r="D68">
        <v>464</v>
      </c>
      <c r="E68" s="59">
        <v>4.969424000023537</v>
      </c>
      <c r="F68">
        <v>63</v>
      </c>
    </row>
    <row r="69" spans="1:6">
      <c r="A69" t="s">
        <v>9</v>
      </c>
      <c r="B69">
        <v>1</v>
      </c>
      <c r="C69">
        <v>65</v>
      </c>
      <c r="D69">
        <v>2672</v>
      </c>
      <c r="E69" s="59">
        <v>4.987907999975505</v>
      </c>
      <c r="F69">
        <v>64</v>
      </c>
    </row>
    <row r="70" spans="1:6">
      <c r="A70" t="s">
        <v>9</v>
      </c>
      <c r="B70">
        <v>1</v>
      </c>
      <c r="C70">
        <v>66</v>
      </c>
      <c r="D70">
        <v>2055</v>
      </c>
      <c r="E70" s="59">
        <v>4.9939269999867975</v>
      </c>
      <c r="F70">
        <v>65</v>
      </c>
    </row>
    <row r="71" spans="1:6">
      <c r="A71" t="s">
        <v>9</v>
      </c>
      <c r="B71">
        <v>1</v>
      </c>
      <c r="C71">
        <v>67</v>
      </c>
      <c r="D71">
        <v>173</v>
      </c>
      <c r="E71" s="59">
        <v>6.085651000034886</v>
      </c>
      <c r="F71">
        <v>66</v>
      </c>
    </row>
    <row r="72" spans="1:6">
      <c r="A72" t="s">
        <v>9</v>
      </c>
      <c r="B72">
        <v>1</v>
      </c>
      <c r="C72">
        <v>68</v>
      </c>
      <c r="D72">
        <v>2936</v>
      </c>
      <c r="E72" s="59">
        <v>5.053344999964793</v>
      </c>
      <c r="F72">
        <v>67</v>
      </c>
    </row>
    <row r="73" spans="1:6">
      <c r="A73" t="s">
        <v>9</v>
      </c>
      <c r="B73">
        <v>1</v>
      </c>
      <c r="C73">
        <v>69</v>
      </c>
      <c r="D73">
        <v>1925</v>
      </c>
      <c r="E73" s="59">
        <v>5.026977000056832</v>
      </c>
      <c r="F73">
        <v>68</v>
      </c>
    </row>
    <row r="74" spans="1:6">
      <c r="A74" t="s">
        <v>9</v>
      </c>
      <c r="B74">
        <v>1</v>
      </c>
      <c r="C74">
        <v>70</v>
      </c>
      <c r="D74">
        <v>2388</v>
      </c>
      <c r="E74" s="59">
        <v>7.312381000019741</v>
      </c>
      <c r="F74">
        <v>69</v>
      </c>
    </row>
    <row r="75" spans="1:6">
      <c r="A75" t="s">
        <v>9</v>
      </c>
      <c r="B75">
        <v>1</v>
      </c>
      <c r="C75">
        <v>71</v>
      </c>
      <c r="D75">
        <v>1526</v>
      </c>
      <c r="E75" s="59">
        <v>5.464899000003243</v>
      </c>
      <c r="F75">
        <v>70</v>
      </c>
    </row>
    <row r="76" spans="1:6">
      <c r="A76" t="s">
        <v>9</v>
      </c>
      <c r="B76">
        <v>1</v>
      </c>
      <c r="C76">
        <v>72</v>
      </c>
      <c r="D76">
        <v>886</v>
      </c>
      <c r="E76" s="59">
        <v>5.301820999989104</v>
      </c>
      <c r="F76">
        <v>71</v>
      </c>
    </row>
    <row r="77" spans="1:6">
      <c r="A77" t="s">
        <v>9</v>
      </c>
      <c r="B77">
        <v>1</v>
      </c>
      <c r="C77">
        <v>73</v>
      </c>
      <c r="D77">
        <v>2478</v>
      </c>
      <c r="E77" s="59">
        <v>4.971517999933894</v>
      </c>
      <c r="F77">
        <v>72</v>
      </c>
    </row>
    <row r="78" spans="1:6">
      <c r="A78" t="s">
        <v>9</v>
      </c>
      <c r="B78">
        <v>1</v>
      </c>
      <c r="C78">
        <v>74</v>
      </c>
      <c r="D78">
        <v>1825</v>
      </c>
      <c r="E78" s="59">
        <v>5.157745000019531</v>
      </c>
      <c r="F78">
        <v>73</v>
      </c>
    </row>
    <row r="79" spans="1:6">
      <c r="A79" t="s">
        <v>9</v>
      </c>
      <c r="B79">
        <v>1</v>
      </c>
      <c r="C79">
        <v>75</v>
      </c>
      <c r="D79">
        <v>234</v>
      </c>
      <c r="E79" s="59">
        <v>5.150969999931476</v>
      </c>
      <c r="F79">
        <v>74</v>
      </c>
    </row>
    <row r="80" spans="1:6">
      <c r="A80" t="s">
        <v>9</v>
      </c>
      <c r="B80">
        <v>1</v>
      </c>
      <c r="C80">
        <v>76</v>
      </c>
      <c r="D80">
        <v>83</v>
      </c>
      <c r="E80" s="59">
        <v>5.607399000041369</v>
      </c>
      <c r="F80">
        <v>75</v>
      </c>
    </row>
    <row r="81" spans="1:6">
      <c r="A81" t="s">
        <v>9</v>
      </c>
      <c r="B81">
        <v>1</v>
      </c>
      <c r="C81">
        <v>77</v>
      </c>
      <c r="D81">
        <v>1634</v>
      </c>
      <c r="E81" s="59">
        <v>5.110451999939869</v>
      </c>
      <c r="F81">
        <v>76</v>
      </c>
    </row>
    <row r="82" spans="1:6">
      <c r="A82" t="s">
        <v>9</v>
      </c>
      <c r="B82">
        <v>1</v>
      </c>
      <c r="C82">
        <v>78</v>
      </c>
      <c r="D82">
        <v>1332</v>
      </c>
      <c r="E82" s="59">
        <v>5.13467199994011</v>
      </c>
      <c r="F82">
        <v>77</v>
      </c>
    </row>
    <row r="83" spans="1:6">
      <c r="A83" t="s">
        <v>9</v>
      </c>
      <c r="B83">
        <v>1</v>
      </c>
      <c r="C83">
        <v>79</v>
      </c>
      <c r="D83">
        <v>1784</v>
      </c>
      <c r="E83" s="59">
        <v>4.973747999997613</v>
      </c>
      <c r="F83">
        <v>78</v>
      </c>
    </row>
    <row r="84" spans="1:6">
      <c r="A84" t="s">
        <v>9</v>
      </c>
      <c r="B84">
        <v>1</v>
      </c>
      <c r="C84">
        <v>80</v>
      </c>
      <c r="D84">
        <v>1301</v>
      </c>
      <c r="E84" s="59">
        <v>5.165312999906746</v>
      </c>
      <c r="F84">
        <v>79</v>
      </c>
    </row>
    <row r="85" spans="1:6">
      <c r="A85" t="s">
        <v>9</v>
      </c>
      <c r="B85">
        <v>1</v>
      </c>
      <c r="C85">
        <v>81</v>
      </c>
      <c r="D85">
        <v>1924</v>
      </c>
      <c r="E85" s="59">
        <v>5.255555000076129</v>
      </c>
      <c r="F85">
        <v>80</v>
      </c>
    </row>
    <row r="86" spans="1:6">
      <c r="A86" t="s">
        <v>9</v>
      </c>
      <c r="B86">
        <v>1</v>
      </c>
      <c r="C86">
        <v>82</v>
      </c>
      <c r="D86">
        <v>120</v>
      </c>
      <c r="E86" s="59">
        <v>5.583648999959223</v>
      </c>
      <c r="F86">
        <v>81</v>
      </c>
    </row>
    <row r="87" spans="1:6">
      <c r="A87" t="s">
        <v>9</v>
      </c>
      <c r="B87">
        <v>1</v>
      </c>
      <c r="C87">
        <v>83</v>
      </c>
      <c r="D87">
        <v>661</v>
      </c>
      <c r="E87" s="59">
        <v>5.262995999942177</v>
      </c>
      <c r="F87">
        <v>82</v>
      </c>
    </row>
    <row r="88" spans="1:6">
      <c r="A88" t="s">
        <v>9</v>
      </c>
      <c r="B88">
        <v>1</v>
      </c>
      <c r="C88">
        <v>84</v>
      </c>
      <c r="D88">
        <v>2325</v>
      </c>
      <c r="E88" s="59">
        <v>5.086209000069175</v>
      </c>
      <c r="F88">
        <v>83</v>
      </c>
    </row>
    <row r="89" spans="1:6">
      <c r="A89" t="s">
        <v>9</v>
      </c>
      <c r="B89">
        <v>1</v>
      </c>
      <c r="C89">
        <v>85</v>
      </c>
      <c r="D89">
        <v>1999</v>
      </c>
      <c r="E89" s="59">
        <v>4.896877999954086</v>
      </c>
      <c r="F89">
        <v>84</v>
      </c>
    </row>
    <row r="90" spans="1:6">
      <c r="A90" t="s">
        <v>9</v>
      </c>
      <c r="B90">
        <v>1</v>
      </c>
      <c r="C90">
        <v>86</v>
      </c>
      <c r="D90">
        <v>539</v>
      </c>
      <c r="E90" s="59">
        <v>5.125374000044758</v>
      </c>
      <c r="F90">
        <v>85</v>
      </c>
    </row>
    <row r="91" spans="1:6">
      <c r="A91" t="s">
        <v>9</v>
      </c>
      <c r="B91">
        <v>1</v>
      </c>
      <c r="C91">
        <v>87</v>
      </c>
      <c r="D91">
        <v>367</v>
      </c>
      <c r="E91" s="59">
        <v>5.003203000001122</v>
      </c>
      <c r="F91">
        <v>86</v>
      </c>
    </row>
    <row r="92" spans="1:6">
      <c r="A92" t="s">
        <v>9</v>
      </c>
      <c r="B92">
        <v>1</v>
      </c>
      <c r="C92">
        <v>88</v>
      </c>
      <c r="D92">
        <v>609</v>
      </c>
      <c r="E92" s="59">
        <v>5.739285000004202</v>
      </c>
      <c r="F92">
        <v>87</v>
      </c>
    </row>
    <row r="93" spans="1:6">
      <c r="A93" t="s">
        <v>9</v>
      </c>
      <c r="B93">
        <v>1</v>
      </c>
      <c r="C93">
        <v>89</v>
      </c>
      <c r="D93">
        <v>378</v>
      </c>
      <c r="E93" s="59">
        <v>5.618412999979228</v>
      </c>
      <c r="F93">
        <v>88</v>
      </c>
    </row>
    <row r="94" spans="1:6">
      <c r="A94" t="s">
        <v>9</v>
      </c>
      <c r="B94">
        <v>1</v>
      </c>
      <c r="C94">
        <v>90</v>
      </c>
      <c r="D94">
        <v>2037</v>
      </c>
      <c r="E94" s="59">
        <v>5.558102999998482</v>
      </c>
      <c r="F94">
        <v>89</v>
      </c>
    </row>
    <row r="95" spans="1:6">
      <c r="A95" t="s">
        <v>9</v>
      </c>
      <c r="B95">
        <v>1</v>
      </c>
      <c r="C95">
        <v>91</v>
      </c>
      <c r="D95">
        <v>1356</v>
      </c>
      <c r="E95" s="59">
        <v>5.197100000032151</v>
      </c>
      <c r="F95">
        <v>90</v>
      </c>
    </row>
    <row r="96" spans="1:6">
      <c r="A96" t="s">
        <v>9</v>
      </c>
      <c r="B96">
        <v>1</v>
      </c>
      <c r="C96">
        <v>92</v>
      </c>
      <c r="D96">
        <v>1693</v>
      </c>
      <c r="E96" s="59">
        <v>5.5010479999282325</v>
      </c>
      <c r="F96">
        <v>91</v>
      </c>
    </row>
    <row r="97" spans="1:6">
      <c r="A97" t="s">
        <v>9</v>
      </c>
      <c r="B97">
        <v>1</v>
      </c>
      <c r="C97">
        <v>93</v>
      </c>
      <c r="D97">
        <v>337</v>
      </c>
      <c r="E97" s="59">
        <v>5.347316999973373</v>
      </c>
      <c r="F97">
        <v>92</v>
      </c>
    </row>
    <row r="98" spans="1:6">
      <c r="A98" t="s">
        <v>9</v>
      </c>
      <c r="B98">
        <v>1</v>
      </c>
      <c r="C98">
        <v>94</v>
      </c>
      <c r="D98">
        <v>1597</v>
      </c>
      <c r="E98" s="59">
        <v>5.477167999970334</v>
      </c>
      <c r="F98">
        <v>93</v>
      </c>
    </row>
    <row r="99" spans="1:6">
      <c r="A99" t="s">
        <v>9</v>
      </c>
      <c r="B99">
        <v>1</v>
      </c>
      <c r="C99">
        <v>95</v>
      </c>
      <c r="D99">
        <v>1265</v>
      </c>
      <c r="E99" s="59">
        <v>5.004059000043526</v>
      </c>
      <c r="F99">
        <v>94</v>
      </c>
    </row>
    <row r="100" spans="1:6">
      <c r="A100" t="s">
        <v>9</v>
      </c>
      <c r="B100">
        <v>1</v>
      </c>
      <c r="C100">
        <v>96</v>
      </c>
      <c r="D100">
        <v>192</v>
      </c>
      <c r="E100" s="59">
        <v>5.604718999961733</v>
      </c>
      <c r="F100">
        <v>95</v>
      </c>
    </row>
    <row r="101" spans="1:6">
      <c r="A101" t="s">
        <v>9</v>
      </c>
      <c r="B101">
        <v>1</v>
      </c>
      <c r="C101">
        <v>97</v>
      </c>
      <c r="D101">
        <v>2326</v>
      </c>
      <c r="E101" s="59">
        <v>9.46218499996121</v>
      </c>
      <c r="F101">
        <v>96</v>
      </c>
    </row>
    <row r="102" spans="1:6">
      <c r="A102" t="s">
        <v>9</v>
      </c>
      <c r="B102">
        <v>1</v>
      </c>
      <c r="C102">
        <v>98</v>
      </c>
      <c r="D102">
        <v>1055</v>
      </c>
      <c r="E102" s="59">
        <v>9.613227999921037</v>
      </c>
      <c r="F102">
        <v>97</v>
      </c>
    </row>
    <row r="103" spans="1:6">
      <c r="A103" t="s">
        <v>9</v>
      </c>
      <c r="B103">
        <v>1</v>
      </c>
      <c r="C103">
        <v>99</v>
      </c>
      <c r="D103">
        <v>2296</v>
      </c>
      <c r="E103" s="59">
        <v>9.973850000051243</v>
      </c>
      <c r="F103">
        <v>98</v>
      </c>
    </row>
    <row r="104" spans="1:6">
      <c r="A104" t="s">
        <v>9</v>
      </c>
      <c r="B104">
        <v>1</v>
      </c>
      <c r="C104">
        <v>100</v>
      </c>
      <c r="D104">
        <v>1710</v>
      </c>
      <c r="E104" s="59">
        <v>8.88077800004794</v>
      </c>
      <c r="F104">
        <v>99</v>
      </c>
    </row>
    <row r="105" spans="1:6">
      <c r="A105" t="s">
        <v>13</v>
      </c>
      <c r="B105">
        <v>1</v>
      </c>
      <c r="C105">
        <v>1</v>
      </c>
      <c r="D105">
        <v>1750</v>
      </c>
      <c r="E105" s="59">
        <v>7.322863000013058</v>
      </c>
      <c r="F105">
        <v>0</v>
      </c>
    </row>
    <row r="106" spans="1:6">
      <c r="A106" t="s">
        <v>13</v>
      </c>
      <c r="B106">
        <v>1</v>
      </c>
      <c r="C106">
        <v>2</v>
      </c>
      <c r="D106">
        <v>98</v>
      </c>
      <c r="E106" s="59">
        <v>7.514470000046458</v>
      </c>
      <c r="F106">
        <v>1</v>
      </c>
    </row>
    <row r="107" spans="1:6">
      <c r="A107" t="s">
        <v>13</v>
      </c>
      <c r="B107">
        <v>1</v>
      </c>
      <c r="C107">
        <v>3</v>
      </c>
      <c r="D107">
        <v>141</v>
      </c>
      <c r="E107" s="59">
        <v>7.244571000001088</v>
      </c>
      <c r="F107">
        <v>2</v>
      </c>
    </row>
    <row r="108" spans="1:6">
      <c r="A108" t="s">
        <v>13</v>
      </c>
      <c r="B108">
        <v>1</v>
      </c>
      <c r="C108">
        <v>4</v>
      </c>
      <c r="D108">
        <v>2106</v>
      </c>
      <c r="E108" s="59">
        <v>7.411406000073839</v>
      </c>
      <c r="F108">
        <v>3</v>
      </c>
    </row>
    <row r="109" spans="1:6">
      <c r="A109" t="s">
        <v>13</v>
      </c>
      <c r="B109">
        <v>1</v>
      </c>
      <c r="C109">
        <v>5</v>
      </c>
      <c r="D109">
        <v>1242</v>
      </c>
      <c r="E109" s="59">
        <v>6.706011000005674</v>
      </c>
      <c r="F109">
        <v>4</v>
      </c>
    </row>
    <row r="110" spans="1:6">
      <c r="A110" t="s">
        <v>13</v>
      </c>
      <c r="B110">
        <v>1</v>
      </c>
      <c r="C110">
        <v>6</v>
      </c>
      <c r="D110">
        <v>993</v>
      </c>
      <c r="E110" s="59">
        <v>7.434842999941793</v>
      </c>
      <c r="F110">
        <v>5</v>
      </c>
    </row>
    <row r="111" spans="1:6">
      <c r="A111" t="s">
        <v>13</v>
      </c>
      <c r="B111">
        <v>1</v>
      </c>
      <c r="C111">
        <v>7</v>
      </c>
      <c r="D111">
        <v>995</v>
      </c>
      <c r="E111" s="59">
        <v>6.925410000008014</v>
      </c>
      <c r="F111">
        <v>6</v>
      </c>
    </row>
    <row r="112" spans="1:6">
      <c r="A112" t="s">
        <v>13</v>
      </c>
      <c r="B112">
        <v>1</v>
      </c>
      <c r="C112">
        <v>8</v>
      </c>
      <c r="D112">
        <v>663</v>
      </c>
      <c r="E112" s="59">
        <v>6.835057999978744</v>
      </c>
      <c r="F112">
        <v>7</v>
      </c>
    </row>
    <row r="113" spans="1:6">
      <c r="A113" t="s">
        <v>13</v>
      </c>
      <c r="B113">
        <v>1</v>
      </c>
      <c r="C113">
        <v>9</v>
      </c>
      <c r="D113">
        <v>37</v>
      </c>
      <c r="E113" s="59">
        <v>7.246850000001359</v>
      </c>
      <c r="F113">
        <v>8</v>
      </c>
    </row>
    <row r="114" spans="1:6">
      <c r="A114" t="s">
        <v>13</v>
      </c>
      <c r="B114">
        <v>1</v>
      </c>
      <c r="C114">
        <v>10</v>
      </c>
      <c r="D114">
        <v>4</v>
      </c>
      <c r="E114" s="59">
        <v>6.830487999991419</v>
      </c>
      <c r="F114">
        <v>9</v>
      </c>
    </row>
    <row r="115" spans="1:6">
      <c r="A115" t="s">
        <v>13</v>
      </c>
      <c r="B115">
        <v>1</v>
      </c>
      <c r="C115">
        <v>11</v>
      </c>
      <c r="D115">
        <v>2311</v>
      </c>
      <c r="E115" s="59">
        <v>7.221169999979793</v>
      </c>
      <c r="F115">
        <v>10</v>
      </c>
    </row>
    <row r="116" spans="1:6">
      <c r="A116" t="s">
        <v>13</v>
      </c>
      <c r="B116">
        <v>1</v>
      </c>
      <c r="C116">
        <v>12</v>
      </c>
      <c r="D116">
        <v>289</v>
      </c>
      <c r="E116" s="59">
        <v>6.6887209999322295</v>
      </c>
      <c r="F116">
        <v>11</v>
      </c>
    </row>
    <row r="117" spans="1:6">
      <c r="A117" t="s">
        <v>13</v>
      </c>
      <c r="B117">
        <v>1</v>
      </c>
      <c r="C117">
        <v>13</v>
      </c>
      <c r="D117">
        <v>1130</v>
      </c>
      <c r="E117" s="59">
        <v>6.723414000020966</v>
      </c>
      <c r="F117">
        <v>12</v>
      </c>
    </row>
    <row r="118" spans="1:6">
      <c r="A118" t="s">
        <v>13</v>
      </c>
      <c r="B118">
        <v>1</v>
      </c>
      <c r="C118">
        <v>14</v>
      </c>
      <c r="D118">
        <v>2589</v>
      </c>
      <c r="E118" s="59">
        <v>6.61585099999229</v>
      </c>
      <c r="F118">
        <v>13</v>
      </c>
    </row>
    <row r="119" spans="1:6">
      <c r="A119" t="s">
        <v>13</v>
      </c>
      <c r="B119">
        <v>1</v>
      </c>
      <c r="C119">
        <v>15</v>
      </c>
      <c r="D119">
        <v>1868</v>
      </c>
      <c r="E119" s="59">
        <v>6.738387000041257</v>
      </c>
      <c r="F119">
        <v>14</v>
      </c>
    </row>
    <row r="120" spans="1:6">
      <c r="A120" t="s">
        <v>13</v>
      </c>
      <c r="B120">
        <v>1</v>
      </c>
      <c r="C120">
        <v>16</v>
      </c>
      <c r="D120">
        <v>1296</v>
      </c>
      <c r="E120" s="59">
        <v>7.245420000003833</v>
      </c>
      <c r="F120">
        <v>15</v>
      </c>
    </row>
    <row r="121" spans="1:6">
      <c r="A121" t="s">
        <v>13</v>
      </c>
      <c r="B121">
        <v>1</v>
      </c>
      <c r="C121">
        <v>17</v>
      </c>
      <c r="D121">
        <v>1144</v>
      </c>
      <c r="E121" s="59">
        <v>7.677107000063188</v>
      </c>
      <c r="F121">
        <v>16</v>
      </c>
    </row>
    <row r="122" spans="1:6">
      <c r="A122" t="s">
        <v>13</v>
      </c>
      <c r="B122">
        <v>1</v>
      </c>
      <c r="C122">
        <v>18</v>
      </c>
      <c r="D122">
        <v>1881</v>
      </c>
      <c r="E122" s="59">
        <v>7.594390999997813</v>
      </c>
      <c r="F122">
        <v>17</v>
      </c>
    </row>
    <row r="123" spans="1:6">
      <c r="A123" t="s">
        <v>13</v>
      </c>
      <c r="B123">
        <v>1</v>
      </c>
      <c r="C123">
        <v>19</v>
      </c>
      <c r="D123">
        <v>686</v>
      </c>
      <c r="E123" s="59">
        <v>6.862343999955556</v>
      </c>
      <c r="F123">
        <v>18</v>
      </c>
    </row>
    <row r="124" spans="1:6">
      <c r="A124" t="s">
        <v>13</v>
      </c>
      <c r="B124">
        <v>1</v>
      </c>
      <c r="C124">
        <v>20</v>
      </c>
      <c r="D124">
        <v>1698</v>
      </c>
      <c r="E124" s="59">
        <v>6.785635000028378</v>
      </c>
      <c r="F124">
        <v>19</v>
      </c>
    </row>
    <row r="125" spans="1:6">
      <c r="A125" t="s">
        <v>13</v>
      </c>
      <c r="B125">
        <v>1</v>
      </c>
      <c r="C125">
        <v>21</v>
      </c>
      <c r="D125">
        <v>2358</v>
      </c>
      <c r="E125" s="59">
        <v>6.7387270000836</v>
      </c>
      <c r="F125">
        <v>20</v>
      </c>
    </row>
    <row r="126" spans="1:6">
      <c r="A126" t="s">
        <v>13</v>
      </c>
      <c r="B126">
        <v>1</v>
      </c>
      <c r="C126">
        <v>22</v>
      </c>
      <c r="D126">
        <v>1246</v>
      </c>
      <c r="E126" s="59">
        <v>7.717312000067977</v>
      </c>
      <c r="F126">
        <v>21</v>
      </c>
    </row>
    <row r="127" spans="1:6">
      <c r="A127" t="s">
        <v>13</v>
      </c>
      <c r="B127">
        <v>1</v>
      </c>
      <c r="C127">
        <v>23</v>
      </c>
      <c r="D127">
        <v>1046</v>
      </c>
      <c r="E127" s="59">
        <v>8.272249000015108</v>
      </c>
      <c r="F127">
        <v>22</v>
      </c>
    </row>
    <row r="128" spans="1:6">
      <c r="A128" t="s">
        <v>13</v>
      </c>
      <c r="B128">
        <v>1</v>
      </c>
      <c r="C128">
        <v>24</v>
      </c>
      <c r="D128">
        <v>399</v>
      </c>
      <c r="E128" s="59">
        <v>7.236305999981596</v>
      </c>
      <c r="F128">
        <v>23</v>
      </c>
    </row>
    <row r="129" spans="1:6">
      <c r="A129" t="s">
        <v>13</v>
      </c>
      <c r="B129">
        <v>1</v>
      </c>
      <c r="C129">
        <v>25</v>
      </c>
      <c r="D129">
        <v>1263</v>
      </c>
      <c r="E129" s="59">
        <v>6.965616000002228</v>
      </c>
      <c r="F129">
        <v>24</v>
      </c>
    </row>
    <row r="130" spans="1:6">
      <c r="A130" t="s">
        <v>13</v>
      </c>
      <c r="B130">
        <v>1</v>
      </c>
      <c r="C130">
        <v>26</v>
      </c>
      <c r="D130">
        <v>2211</v>
      </c>
      <c r="E130" s="59">
        <v>7.17815099994823</v>
      </c>
      <c r="F130">
        <v>25</v>
      </c>
    </row>
    <row r="131" spans="1:6">
      <c r="A131" t="s">
        <v>13</v>
      </c>
      <c r="B131">
        <v>1</v>
      </c>
      <c r="C131">
        <v>27</v>
      </c>
      <c r="D131">
        <v>1651</v>
      </c>
      <c r="E131" s="59">
        <v>6.944554000028802</v>
      </c>
      <c r="F131">
        <v>26</v>
      </c>
    </row>
    <row r="132" spans="1:6">
      <c r="A132" t="s">
        <v>13</v>
      </c>
      <c r="B132">
        <v>1</v>
      </c>
      <c r="C132">
        <v>28</v>
      </c>
      <c r="D132">
        <v>2393</v>
      </c>
      <c r="E132" s="59">
        <v>7.043253999995613</v>
      </c>
      <c r="F132">
        <v>27</v>
      </c>
    </row>
    <row r="133" spans="1:6">
      <c r="A133" t="s">
        <v>13</v>
      </c>
      <c r="B133">
        <v>1</v>
      </c>
      <c r="C133">
        <v>29</v>
      </c>
      <c r="D133">
        <v>692</v>
      </c>
      <c r="E133" s="59">
        <v>7.004144000006818</v>
      </c>
      <c r="F133">
        <v>28</v>
      </c>
    </row>
    <row r="134" spans="1:6">
      <c r="A134" t="s">
        <v>13</v>
      </c>
      <c r="B134">
        <v>1</v>
      </c>
      <c r="C134">
        <v>30</v>
      </c>
      <c r="D134">
        <v>155</v>
      </c>
      <c r="E134" s="59">
        <v>7.261171999971339</v>
      </c>
      <c r="F134">
        <v>29</v>
      </c>
    </row>
    <row r="135" spans="1:6">
      <c r="A135" t="s">
        <v>13</v>
      </c>
      <c r="B135">
        <v>1</v>
      </c>
      <c r="C135">
        <v>31</v>
      </c>
      <c r="D135">
        <v>1529</v>
      </c>
      <c r="E135" s="59">
        <v>7.351867000011225</v>
      </c>
      <c r="F135">
        <v>30</v>
      </c>
    </row>
    <row r="136" spans="1:6">
      <c r="A136" t="s">
        <v>13</v>
      </c>
      <c r="B136">
        <v>1</v>
      </c>
      <c r="C136">
        <v>32</v>
      </c>
      <c r="D136">
        <v>1103</v>
      </c>
      <c r="E136" s="59">
        <v>6.864666000069519</v>
      </c>
      <c r="F136">
        <v>31</v>
      </c>
    </row>
    <row r="137" spans="1:6">
      <c r="A137" t="s">
        <v>13</v>
      </c>
      <c r="B137">
        <v>1</v>
      </c>
      <c r="C137">
        <v>33</v>
      </c>
      <c r="D137">
        <v>2506</v>
      </c>
      <c r="E137" s="59">
        <v>6.702602000018487</v>
      </c>
      <c r="F137">
        <v>32</v>
      </c>
    </row>
    <row r="138" spans="1:6">
      <c r="A138" t="s">
        <v>13</v>
      </c>
      <c r="B138">
        <v>1</v>
      </c>
      <c r="C138">
        <v>34</v>
      </c>
      <c r="D138">
        <v>1092</v>
      </c>
      <c r="E138" s="59">
        <v>7.178385000088383</v>
      </c>
      <c r="F138">
        <v>33</v>
      </c>
    </row>
    <row r="139" spans="1:6">
      <c r="A139" t="s">
        <v>13</v>
      </c>
      <c r="B139">
        <v>1</v>
      </c>
      <c r="C139">
        <v>35</v>
      </c>
      <c r="D139">
        <v>916</v>
      </c>
      <c r="E139" s="59">
        <v>6.998144000021966</v>
      </c>
      <c r="F139">
        <v>34</v>
      </c>
    </row>
    <row r="140" spans="1:6">
      <c r="A140" t="s">
        <v>13</v>
      </c>
      <c r="B140">
        <v>1</v>
      </c>
      <c r="C140">
        <v>36</v>
      </c>
      <c r="D140">
        <v>2953</v>
      </c>
      <c r="E140" s="59">
        <v>7.273252000004504</v>
      </c>
      <c r="F140">
        <v>35</v>
      </c>
    </row>
    <row r="141" spans="1:6">
      <c r="A141" t="s">
        <v>13</v>
      </c>
      <c r="B141">
        <v>1</v>
      </c>
      <c r="C141">
        <v>37</v>
      </c>
      <c r="D141">
        <v>2132</v>
      </c>
      <c r="E141" s="59">
        <v>6.805606999932934</v>
      </c>
      <c r="F141">
        <v>36</v>
      </c>
    </row>
    <row r="142" spans="1:6">
      <c r="A142" t="s">
        <v>13</v>
      </c>
      <c r="B142">
        <v>1</v>
      </c>
      <c r="C142">
        <v>38</v>
      </c>
      <c r="D142">
        <v>1122</v>
      </c>
      <c r="E142" s="59">
        <v>6.829541000001882</v>
      </c>
      <c r="F142">
        <v>37</v>
      </c>
    </row>
    <row r="143" spans="1:6">
      <c r="A143" t="s">
        <v>13</v>
      </c>
      <c r="B143">
        <v>1</v>
      </c>
      <c r="C143">
        <v>39</v>
      </c>
      <c r="D143">
        <v>1639</v>
      </c>
      <c r="E143" s="59">
        <v>6.777571999919019</v>
      </c>
      <c r="F143">
        <v>38</v>
      </c>
    </row>
    <row r="144" spans="1:6">
      <c r="A144" t="s">
        <v>13</v>
      </c>
      <c r="B144">
        <v>1</v>
      </c>
      <c r="C144">
        <v>40</v>
      </c>
      <c r="D144">
        <v>1605</v>
      </c>
      <c r="E144" s="59">
        <v>6.730542000013884</v>
      </c>
      <c r="F144">
        <v>39</v>
      </c>
    </row>
    <row r="145" spans="1:6">
      <c r="A145" t="s">
        <v>13</v>
      </c>
      <c r="B145">
        <v>1</v>
      </c>
      <c r="C145">
        <v>41</v>
      </c>
      <c r="D145">
        <v>1760</v>
      </c>
      <c r="E145" s="59">
        <v>7.049422000022787</v>
      </c>
      <c r="F145">
        <v>40</v>
      </c>
    </row>
    <row r="146" spans="1:6">
      <c r="A146" t="s">
        <v>13</v>
      </c>
      <c r="B146">
        <v>1</v>
      </c>
      <c r="C146">
        <v>42</v>
      </c>
      <c r="D146">
        <v>1202</v>
      </c>
      <c r="E146" s="59">
        <v>6.796608000058768</v>
      </c>
      <c r="F146">
        <v>41</v>
      </c>
    </row>
    <row r="147" spans="1:6">
      <c r="A147" t="s">
        <v>13</v>
      </c>
      <c r="B147">
        <v>1</v>
      </c>
      <c r="C147">
        <v>43</v>
      </c>
      <c r="D147">
        <v>1115</v>
      </c>
      <c r="E147" s="59">
        <v>6.5797759999668415</v>
      </c>
      <c r="F147">
        <v>42</v>
      </c>
    </row>
    <row r="148" spans="1:6">
      <c r="A148" t="s">
        <v>13</v>
      </c>
      <c r="B148">
        <v>1</v>
      </c>
      <c r="C148">
        <v>44</v>
      </c>
      <c r="D148">
        <v>2660</v>
      </c>
      <c r="E148" s="59">
        <v>7.217415000013716</v>
      </c>
      <c r="F148">
        <v>43</v>
      </c>
    </row>
    <row r="149" spans="1:6">
      <c r="A149" t="s">
        <v>13</v>
      </c>
      <c r="B149">
        <v>1</v>
      </c>
      <c r="C149">
        <v>45</v>
      </c>
      <c r="D149">
        <v>1170</v>
      </c>
      <c r="E149" s="59">
        <v>7.05586799995217</v>
      </c>
      <c r="F149">
        <v>44</v>
      </c>
    </row>
    <row r="150" spans="1:6">
      <c r="A150" t="s">
        <v>13</v>
      </c>
      <c r="B150">
        <v>1</v>
      </c>
      <c r="C150">
        <v>46</v>
      </c>
      <c r="D150">
        <v>2387</v>
      </c>
      <c r="E150" s="59">
        <v>6.924097000023721</v>
      </c>
      <c r="F150">
        <v>45</v>
      </c>
    </row>
    <row r="151" spans="1:6">
      <c r="A151" t="s">
        <v>13</v>
      </c>
      <c r="B151">
        <v>1</v>
      </c>
      <c r="C151">
        <v>47</v>
      </c>
      <c r="D151">
        <v>288</v>
      </c>
      <c r="E151" s="59">
        <v>6.461409000053209</v>
      </c>
      <c r="F151">
        <v>46</v>
      </c>
    </row>
    <row r="152" spans="1:6">
      <c r="A152" t="s">
        <v>13</v>
      </c>
      <c r="B152">
        <v>1</v>
      </c>
      <c r="C152">
        <v>48</v>
      </c>
      <c r="D152">
        <v>1464</v>
      </c>
      <c r="E152" s="59">
        <v>6.729038999992554</v>
      </c>
      <c r="F152">
        <v>47</v>
      </c>
    </row>
    <row r="153" spans="1:6">
      <c r="A153" t="s">
        <v>13</v>
      </c>
      <c r="B153">
        <v>1</v>
      </c>
      <c r="C153">
        <v>49</v>
      </c>
      <c r="D153">
        <v>2212</v>
      </c>
      <c r="E153" s="59">
        <v>6.634901999973408</v>
      </c>
      <c r="F153">
        <v>48</v>
      </c>
    </row>
    <row r="154" spans="1:6">
      <c r="A154" t="s">
        <v>13</v>
      </c>
      <c r="B154">
        <v>1</v>
      </c>
      <c r="C154">
        <v>50</v>
      </c>
      <c r="D154">
        <v>223</v>
      </c>
      <c r="E154" s="59">
        <v>7.029364000004534</v>
      </c>
      <c r="F154">
        <v>49</v>
      </c>
    </row>
    <row r="155" spans="1:6">
      <c r="A155" t="s">
        <v>13</v>
      </c>
      <c r="B155">
        <v>1</v>
      </c>
      <c r="C155">
        <v>51</v>
      </c>
      <c r="D155">
        <v>2578</v>
      </c>
      <c r="E155" s="59">
        <v>6.613879000042289</v>
      </c>
      <c r="F155">
        <v>50</v>
      </c>
    </row>
    <row r="156" spans="1:6">
      <c r="A156" t="s">
        <v>13</v>
      </c>
      <c r="B156">
        <v>1</v>
      </c>
      <c r="C156">
        <v>52</v>
      </c>
      <c r="D156">
        <v>2884</v>
      </c>
      <c r="E156" s="59">
        <v>6.644094999955996</v>
      </c>
      <c r="F156">
        <v>51</v>
      </c>
    </row>
    <row r="157" spans="1:6">
      <c r="A157" t="s">
        <v>13</v>
      </c>
      <c r="B157">
        <v>1</v>
      </c>
      <c r="C157">
        <v>53</v>
      </c>
      <c r="D157">
        <v>1610</v>
      </c>
      <c r="E157" s="59">
        <v>6.881416000055651</v>
      </c>
      <c r="F157">
        <v>52</v>
      </c>
    </row>
    <row r="158" spans="1:6">
      <c r="A158" t="s">
        <v>13</v>
      </c>
      <c r="B158">
        <v>1</v>
      </c>
      <c r="C158">
        <v>54</v>
      </c>
      <c r="D158">
        <v>1175</v>
      </c>
      <c r="E158" s="59">
        <v>6.974142999979449</v>
      </c>
      <c r="F158">
        <v>53</v>
      </c>
    </row>
    <row r="159" spans="1:6">
      <c r="A159" t="s">
        <v>13</v>
      </c>
      <c r="B159">
        <v>1</v>
      </c>
      <c r="C159">
        <v>55</v>
      </c>
      <c r="D159">
        <v>1467</v>
      </c>
      <c r="E159" s="59">
        <v>6.937852999953975</v>
      </c>
      <c r="F159">
        <v>54</v>
      </c>
    </row>
    <row r="160" spans="1:6">
      <c r="A160" t="s">
        <v>13</v>
      </c>
      <c r="B160">
        <v>1</v>
      </c>
      <c r="C160">
        <v>56</v>
      </c>
      <c r="D160">
        <v>1757</v>
      </c>
      <c r="E160" s="59">
        <v>6.623161999982585</v>
      </c>
      <c r="F160">
        <v>55</v>
      </c>
    </row>
    <row r="161" spans="1:6">
      <c r="A161" t="s">
        <v>13</v>
      </c>
      <c r="B161">
        <v>1</v>
      </c>
      <c r="C161">
        <v>57</v>
      </c>
      <c r="D161">
        <v>2114</v>
      </c>
      <c r="E161" s="59">
        <v>7.158472000014626</v>
      </c>
      <c r="F161">
        <v>56</v>
      </c>
    </row>
    <row r="162" spans="1:6">
      <c r="A162" t="s">
        <v>13</v>
      </c>
      <c r="B162">
        <v>1</v>
      </c>
      <c r="C162">
        <v>58</v>
      </c>
      <c r="D162">
        <v>773</v>
      </c>
      <c r="E162" s="59">
        <v>6.953313999929378</v>
      </c>
      <c r="F162">
        <v>57</v>
      </c>
    </row>
    <row r="163" spans="1:6">
      <c r="A163" t="s">
        <v>13</v>
      </c>
      <c r="B163">
        <v>1</v>
      </c>
      <c r="C163">
        <v>59</v>
      </c>
      <c r="D163">
        <v>470</v>
      </c>
      <c r="E163" s="59">
        <v>6.974417000037647</v>
      </c>
      <c r="F163">
        <v>58</v>
      </c>
    </row>
    <row r="164" spans="1:6">
      <c r="A164" t="s">
        <v>13</v>
      </c>
      <c r="B164">
        <v>1</v>
      </c>
      <c r="C164">
        <v>60</v>
      </c>
      <c r="D164">
        <v>872</v>
      </c>
      <c r="E164" s="59">
        <v>6.858796000074108</v>
      </c>
      <c r="F164">
        <v>59</v>
      </c>
    </row>
    <row r="165" spans="1:6">
      <c r="A165" t="s">
        <v>13</v>
      </c>
      <c r="B165">
        <v>1</v>
      </c>
      <c r="C165">
        <v>61</v>
      </c>
      <c r="D165">
        <v>2268</v>
      </c>
      <c r="E165" s="59">
        <v>7.065836999913699</v>
      </c>
      <c r="F165">
        <v>60</v>
      </c>
    </row>
    <row r="166" spans="1:6">
      <c r="A166" t="s">
        <v>13</v>
      </c>
      <c r="B166">
        <v>1</v>
      </c>
      <c r="C166">
        <v>62</v>
      </c>
      <c r="D166">
        <v>2716</v>
      </c>
      <c r="E166" s="59">
        <v>6.89232800004902</v>
      </c>
      <c r="F166">
        <v>61</v>
      </c>
    </row>
    <row r="167" spans="1:6">
      <c r="A167" t="s">
        <v>13</v>
      </c>
      <c r="B167">
        <v>1</v>
      </c>
      <c r="C167">
        <v>63</v>
      </c>
      <c r="D167">
        <v>2533</v>
      </c>
      <c r="E167" s="59">
        <v>6.732101000011426</v>
      </c>
      <c r="F167">
        <v>62</v>
      </c>
    </row>
    <row r="168" spans="1:6">
      <c r="A168" t="s">
        <v>13</v>
      </c>
      <c r="B168">
        <v>1</v>
      </c>
      <c r="C168">
        <v>64</v>
      </c>
      <c r="D168">
        <v>464</v>
      </c>
      <c r="E168" s="59">
        <v>7.248281999977735</v>
      </c>
      <c r="F168">
        <v>63</v>
      </c>
    </row>
    <row r="169" spans="1:6">
      <c r="A169" t="s">
        <v>13</v>
      </c>
      <c r="B169">
        <v>1</v>
      </c>
      <c r="C169">
        <v>65</v>
      </c>
      <c r="D169">
        <v>2672</v>
      </c>
      <c r="E169" s="59">
        <v>6.788652999944134</v>
      </c>
      <c r="F169">
        <v>64</v>
      </c>
    </row>
    <row r="170" spans="1:6">
      <c r="A170" t="s">
        <v>13</v>
      </c>
      <c r="B170">
        <v>1</v>
      </c>
      <c r="C170">
        <v>66</v>
      </c>
      <c r="D170">
        <v>2055</v>
      </c>
      <c r="E170" s="59">
        <v>10.889226000017516</v>
      </c>
      <c r="F170">
        <v>65</v>
      </c>
    </row>
    <row r="171" spans="1:6">
      <c r="A171" t="s">
        <v>13</v>
      </c>
      <c r="B171">
        <v>1</v>
      </c>
      <c r="C171">
        <v>67</v>
      </c>
      <c r="D171">
        <v>173</v>
      </c>
      <c r="E171" s="59">
        <v>11.841704000062236</v>
      </c>
      <c r="F171">
        <v>66</v>
      </c>
    </row>
    <row r="172" spans="1:6">
      <c r="A172" t="s">
        <v>13</v>
      </c>
      <c r="B172">
        <v>1</v>
      </c>
      <c r="C172">
        <v>68</v>
      </c>
      <c r="D172">
        <v>2936</v>
      </c>
      <c r="E172" s="59">
        <v>9.01957099995343</v>
      </c>
      <c r="F172">
        <v>67</v>
      </c>
    </row>
    <row r="173" spans="1:6">
      <c r="A173" t="s">
        <v>13</v>
      </c>
      <c r="B173">
        <v>1</v>
      </c>
      <c r="C173">
        <v>69</v>
      </c>
      <c r="D173">
        <v>1925</v>
      </c>
      <c r="E173" s="59">
        <v>10.753278000038335</v>
      </c>
      <c r="F173">
        <v>68</v>
      </c>
    </row>
    <row r="174" spans="1:6">
      <c r="A174" t="s">
        <v>13</v>
      </c>
      <c r="B174">
        <v>1</v>
      </c>
      <c r="C174">
        <v>70</v>
      </c>
      <c r="D174">
        <v>2388</v>
      </c>
      <c r="E174" s="59">
        <v>7.375628999966466</v>
      </c>
      <c r="F174">
        <v>69</v>
      </c>
    </row>
    <row r="175" spans="1:6">
      <c r="A175" t="s">
        <v>13</v>
      </c>
      <c r="B175">
        <v>1</v>
      </c>
      <c r="C175">
        <v>71</v>
      </c>
      <c r="D175">
        <v>1526</v>
      </c>
      <c r="E175" s="59">
        <v>7.085939000035069</v>
      </c>
      <c r="F175">
        <v>70</v>
      </c>
    </row>
    <row r="176" spans="1:6">
      <c r="A176" t="s">
        <v>13</v>
      </c>
      <c r="B176">
        <v>1</v>
      </c>
      <c r="C176">
        <v>72</v>
      </c>
      <c r="D176">
        <v>886</v>
      </c>
      <c r="E176" s="59">
        <v>6.917186999999103</v>
      </c>
      <c r="F176">
        <v>71</v>
      </c>
    </row>
    <row r="177" spans="1:6">
      <c r="A177" t="s">
        <v>13</v>
      </c>
      <c r="B177">
        <v>1</v>
      </c>
      <c r="C177">
        <v>73</v>
      </c>
      <c r="D177">
        <v>2478</v>
      </c>
      <c r="E177" s="59">
        <v>6.737409000038497</v>
      </c>
      <c r="F177">
        <v>72</v>
      </c>
    </row>
    <row r="178" spans="1:6">
      <c r="A178" t="s">
        <v>13</v>
      </c>
      <c r="B178">
        <v>1</v>
      </c>
      <c r="C178">
        <v>74</v>
      </c>
      <c r="D178">
        <v>1825</v>
      </c>
      <c r="E178" s="59">
        <v>6.821924000064428</v>
      </c>
      <c r="F178">
        <v>73</v>
      </c>
    </row>
    <row r="179" spans="1:6">
      <c r="A179" t="s">
        <v>13</v>
      </c>
      <c r="B179">
        <v>1</v>
      </c>
      <c r="C179">
        <v>75</v>
      </c>
      <c r="D179">
        <v>234</v>
      </c>
      <c r="E179" s="59">
        <v>6.963304999999309</v>
      </c>
      <c r="F179">
        <v>74</v>
      </c>
    </row>
    <row r="180" spans="1:6">
      <c r="A180" t="s">
        <v>13</v>
      </c>
      <c r="B180">
        <v>1</v>
      </c>
      <c r="C180">
        <v>76</v>
      </c>
      <c r="D180">
        <v>83</v>
      </c>
      <c r="E180" s="59">
        <v>7.34327200007101</v>
      </c>
      <c r="F180">
        <v>75</v>
      </c>
    </row>
    <row r="181" spans="1:6">
      <c r="A181" t="s">
        <v>13</v>
      </c>
      <c r="B181">
        <v>1</v>
      </c>
      <c r="C181">
        <v>77</v>
      </c>
      <c r="D181">
        <v>1634</v>
      </c>
      <c r="E181" s="59">
        <v>6.806029000017588</v>
      </c>
      <c r="F181">
        <v>76</v>
      </c>
    </row>
    <row r="182" spans="1:6">
      <c r="A182" t="s">
        <v>13</v>
      </c>
      <c r="B182">
        <v>1</v>
      </c>
      <c r="C182">
        <v>78</v>
      </c>
      <c r="D182">
        <v>1332</v>
      </c>
      <c r="E182" s="59">
        <v>6.787397000039164</v>
      </c>
      <c r="F182">
        <v>77</v>
      </c>
    </row>
    <row r="183" spans="1:6">
      <c r="A183" t="s">
        <v>13</v>
      </c>
      <c r="B183">
        <v>1</v>
      </c>
      <c r="C183">
        <v>79</v>
      </c>
      <c r="D183">
        <v>1784</v>
      </c>
      <c r="E183" s="59">
        <v>7.012855999960266</v>
      </c>
      <c r="F183">
        <v>78</v>
      </c>
    </row>
    <row r="184" spans="1:6">
      <c r="A184" t="s">
        <v>13</v>
      </c>
      <c r="B184">
        <v>1</v>
      </c>
      <c r="C184">
        <v>80</v>
      </c>
      <c r="D184">
        <v>1301</v>
      </c>
      <c r="E184" s="59">
        <v>6.893599000022732</v>
      </c>
      <c r="F184">
        <v>79</v>
      </c>
    </row>
    <row r="185" spans="1:6">
      <c r="A185" t="s">
        <v>13</v>
      </c>
      <c r="B185">
        <v>1</v>
      </c>
      <c r="C185">
        <v>81</v>
      </c>
      <c r="D185">
        <v>1924</v>
      </c>
      <c r="E185" s="59">
        <v>6.78586499998346</v>
      </c>
      <c r="F185">
        <v>80</v>
      </c>
    </row>
    <row r="186" spans="1:6">
      <c r="A186" t="s">
        <v>13</v>
      </c>
      <c r="B186">
        <v>1</v>
      </c>
      <c r="C186">
        <v>82</v>
      </c>
      <c r="D186">
        <v>120</v>
      </c>
      <c r="E186" s="59">
        <v>6.801384999903348</v>
      </c>
      <c r="F186">
        <v>81</v>
      </c>
    </row>
    <row r="187" spans="1:6">
      <c r="A187" t="s">
        <v>13</v>
      </c>
      <c r="B187">
        <v>1</v>
      </c>
      <c r="C187">
        <v>83</v>
      </c>
      <c r="D187">
        <v>661</v>
      </c>
      <c r="E187" s="59">
        <v>7.251451000001907</v>
      </c>
      <c r="F187">
        <v>82</v>
      </c>
    </row>
    <row r="188" spans="1:6">
      <c r="A188" t="s">
        <v>13</v>
      </c>
      <c r="B188">
        <v>1</v>
      </c>
      <c r="C188">
        <v>84</v>
      </c>
      <c r="D188">
        <v>2325</v>
      </c>
      <c r="E188" s="59">
        <v>6.698458999949253</v>
      </c>
      <c r="F188">
        <v>83</v>
      </c>
    </row>
    <row r="189" spans="1:6">
      <c r="A189" t="s">
        <v>13</v>
      </c>
      <c r="B189">
        <v>1</v>
      </c>
      <c r="C189">
        <v>85</v>
      </c>
      <c r="D189">
        <v>1999</v>
      </c>
      <c r="E189" s="59">
        <v>6.9513500000084605</v>
      </c>
      <c r="F189">
        <v>84</v>
      </c>
    </row>
    <row r="190" spans="1:6">
      <c r="A190" t="s">
        <v>13</v>
      </c>
      <c r="B190">
        <v>1</v>
      </c>
      <c r="C190">
        <v>86</v>
      </c>
      <c r="D190">
        <v>539</v>
      </c>
      <c r="E190" s="59">
        <v>7.010014000002229</v>
      </c>
      <c r="F190">
        <v>85</v>
      </c>
    </row>
    <row r="191" spans="1:6">
      <c r="A191" t="s">
        <v>13</v>
      </c>
      <c r="B191">
        <v>1</v>
      </c>
      <c r="C191">
        <v>87</v>
      </c>
      <c r="D191">
        <v>367</v>
      </c>
      <c r="E191" s="59">
        <v>6.730715000003329</v>
      </c>
      <c r="F191">
        <v>86</v>
      </c>
    </row>
    <row r="192" spans="1:6">
      <c r="A192" t="s">
        <v>13</v>
      </c>
      <c r="B192">
        <v>1</v>
      </c>
      <c r="C192">
        <v>88</v>
      </c>
      <c r="D192">
        <v>609</v>
      </c>
      <c r="E192" s="59">
        <v>6.881289000034485</v>
      </c>
      <c r="F192">
        <v>87</v>
      </c>
    </row>
    <row r="193" spans="1:6">
      <c r="A193" t="s">
        <v>13</v>
      </c>
      <c r="B193">
        <v>1</v>
      </c>
      <c r="C193">
        <v>89</v>
      </c>
      <c r="D193">
        <v>378</v>
      </c>
      <c r="E193" s="59">
        <v>6.800096999995731</v>
      </c>
      <c r="F193">
        <v>88</v>
      </c>
    </row>
    <row r="194" spans="1:6">
      <c r="A194" t="s">
        <v>13</v>
      </c>
      <c r="B194">
        <v>1</v>
      </c>
      <c r="C194">
        <v>90</v>
      </c>
      <c r="D194">
        <v>2037</v>
      </c>
      <c r="E194" s="59">
        <v>6.55849700001454</v>
      </c>
      <c r="F194">
        <v>89</v>
      </c>
    </row>
    <row r="195" spans="1:6">
      <c r="A195" t="s">
        <v>13</v>
      </c>
      <c r="B195">
        <v>1</v>
      </c>
      <c r="C195">
        <v>91</v>
      </c>
      <c r="D195">
        <v>1356</v>
      </c>
      <c r="E195" s="59">
        <v>6.851412000060009</v>
      </c>
      <c r="F195">
        <v>90</v>
      </c>
    </row>
    <row r="196" spans="1:6">
      <c r="A196" t="s">
        <v>13</v>
      </c>
      <c r="B196">
        <v>1</v>
      </c>
      <c r="C196">
        <v>92</v>
      </c>
      <c r="D196">
        <v>1693</v>
      </c>
      <c r="E196" s="59">
        <v>6.755898000051275</v>
      </c>
      <c r="F196">
        <v>91</v>
      </c>
    </row>
    <row r="197" spans="1:6">
      <c r="A197" t="s">
        <v>13</v>
      </c>
      <c r="B197">
        <v>1</v>
      </c>
      <c r="C197">
        <v>93</v>
      </c>
      <c r="D197">
        <v>337</v>
      </c>
      <c r="E197" s="59">
        <v>8.605786999964948</v>
      </c>
      <c r="F197">
        <v>92</v>
      </c>
    </row>
    <row r="198" spans="1:6">
      <c r="A198" t="s">
        <v>13</v>
      </c>
      <c r="B198">
        <v>1</v>
      </c>
      <c r="C198">
        <v>94</v>
      </c>
      <c r="D198">
        <v>1597</v>
      </c>
      <c r="E198" s="59">
        <v>7.02659399996719</v>
      </c>
      <c r="F198">
        <v>93</v>
      </c>
    </row>
    <row r="199" spans="1:6">
      <c r="A199" t="s">
        <v>13</v>
      </c>
      <c r="B199">
        <v>1</v>
      </c>
      <c r="C199">
        <v>95</v>
      </c>
      <c r="D199">
        <v>1265</v>
      </c>
      <c r="E199" s="59">
        <v>6.741301000033673</v>
      </c>
      <c r="F199">
        <v>94</v>
      </c>
    </row>
    <row r="200" spans="1:6">
      <c r="A200" t="s">
        <v>13</v>
      </c>
      <c r="B200">
        <v>1</v>
      </c>
      <c r="C200">
        <v>96</v>
      </c>
      <c r="D200">
        <v>192</v>
      </c>
      <c r="E200" s="59">
        <v>6.885045999979411</v>
      </c>
      <c r="F200">
        <v>95</v>
      </c>
    </row>
    <row r="201" spans="1:6">
      <c r="A201" t="s">
        <v>13</v>
      </c>
      <c r="B201">
        <v>1</v>
      </c>
      <c r="C201">
        <v>97</v>
      </c>
      <c r="D201">
        <v>2326</v>
      </c>
      <c r="E201" s="59">
        <v>6.870491999961814</v>
      </c>
      <c r="F201">
        <v>96</v>
      </c>
    </row>
    <row r="202" spans="1:6">
      <c r="A202" t="s">
        <v>13</v>
      </c>
      <c r="B202">
        <v>1</v>
      </c>
      <c r="C202">
        <v>98</v>
      </c>
      <c r="D202">
        <v>1055</v>
      </c>
      <c r="E202" s="59">
        <v>6.766028000015467</v>
      </c>
      <c r="F202">
        <v>97</v>
      </c>
    </row>
    <row r="203" spans="1:6">
      <c r="A203" t="s">
        <v>13</v>
      </c>
      <c r="B203">
        <v>1</v>
      </c>
      <c r="C203">
        <v>99</v>
      </c>
      <c r="D203">
        <v>2296</v>
      </c>
      <c r="E203" s="59">
        <v>6.97788800005128</v>
      </c>
      <c r="F203">
        <v>98</v>
      </c>
    </row>
    <row r="204" spans="1:6">
      <c r="A204" t="s">
        <v>13</v>
      </c>
      <c r="B204">
        <v>1</v>
      </c>
      <c r="C204">
        <v>100</v>
      </c>
      <c r="D204">
        <v>1710</v>
      </c>
      <c r="E204" s="59">
        <v>6.979446999935135</v>
      </c>
      <c r="F204">
        <v>99</v>
      </c>
    </row>
    <row r="205" spans="1:6">
      <c r="A205" t="s">
        <v>17</v>
      </c>
      <c r="B205">
        <v>1</v>
      </c>
      <c r="C205">
        <v>1</v>
      </c>
      <c r="D205">
        <v>1750</v>
      </c>
      <c r="E205" s="59">
        <v>12.036019999982273</v>
      </c>
      <c r="F205">
        <v>0</v>
      </c>
    </row>
    <row r="206" spans="1:6">
      <c r="A206" t="s">
        <v>17</v>
      </c>
      <c r="B206">
        <v>1</v>
      </c>
      <c r="C206">
        <v>2</v>
      </c>
      <c r="D206">
        <v>98</v>
      </c>
      <c r="E206" s="59">
        <v>11.446403000036298</v>
      </c>
      <c r="F206">
        <v>1</v>
      </c>
    </row>
    <row r="207" spans="1:6">
      <c r="A207" t="s">
        <v>17</v>
      </c>
      <c r="B207">
        <v>1</v>
      </c>
      <c r="C207">
        <v>3</v>
      </c>
      <c r="D207">
        <v>141</v>
      </c>
      <c r="E207" s="59">
        <v>11.12240700001621</v>
      </c>
      <c r="F207">
        <v>2</v>
      </c>
    </row>
    <row r="208" spans="1:6">
      <c r="A208" t="s">
        <v>17</v>
      </c>
      <c r="B208">
        <v>1</v>
      </c>
      <c r="C208">
        <v>4</v>
      </c>
      <c r="D208">
        <v>2106</v>
      </c>
      <c r="E208" s="59">
        <v>11.179324999943674</v>
      </c>
      <c r="F208">
        <v>3</v>
      </c>
    </row>
    <row r="209" spans="1:6">
      <c r="A209" t="s">
        <v>17</v>
      </c>
      <c r="B209">
        <v>1</v>
      </c>
      <c r="C209">
        <v>5</v>
      </c>
      <c r="D209">
        <v>1242</v>
      </c>
      <c r="E209" s="59">
        <v>11.346355000000584</v>
      </c>
      <c r="F209">
        <v>4</v>
      </c>
    </row>
    <row r="210" spans="1:6">
      <c r="A210" t="s">
        <v>17</v>
      </c>
      <c r="B210">
        <v>1</v>
      </c>
      <c r="C210">
        <v>6</v>
      </c>
      <c r="D210">
        <v>993</v>
      </c>
      <c r="E210" s="59">
        <v>10.97519799998281</v>
      </c>
      <c r="F210">
        <v>5</v>
      </c>
    </row>
    <row r="211" spans="1:6">
      <c r="A211" t="s">
        <v>17</v>
      </c>
      <c r="B211">
        <v>1</v>
      </c>
      <c r="C211">
        <v>7</v>
      </c>
      <c r="D211">
        <v>995</v>
      </c>
      <c r="E211" s="59">
        <v>10.892761000036444</v>
      </c>
      <c r="F211">
        <v>6</v>
      </c>
    </row>
    <row r="212" spans="1:6">
      <c r="A212" t="s">
        <v>17</v>
      </c>
      <c r="B212">
        <v>1</v>
      </c>
      <c r="C212">
        <v>8</v>
      </c>
      <c r="D212">
        <v>663</v>
      </c>
      <c r="E212" s="59">
        <v>11.341821999963033</v>
      </c>
      <c r="F212">
        <v>7</v>
      </c>
    </row>
    <row r="213" spans="1:6">
      <c r="A213" t="s">
        <v>17</v>
      </c>
      <c r="B213">
        <v>1</v>
      </c>
      <c r="C213">
        <v>9</v>
      </c>
      <c r="D213">
        <v>37</v>
      </c>
      <c r="E213" s="59">
        <v>11.497122000037052</v>
      </c>
      <c r="F213">
        <v>8</v>
      </c>
    </row>
    <row r="214" spans="1:6">
      <c r="A214" t="s">
        <v>17</v>
      </c>
      <c r="B214">
        <v>1</v>
      </c>
      <c r="C214">
        <v>10</v>
      </c>
      <c r="D214">
        <v>4</v>
      </c>
      <c r="E214" s="59">
        <v>11.699789999966017</v>
      </c>
      <c r="F214">
        <v>9</v>
      </c>
    </row>
    <row r="215" spans="1:6">
      <c r="A215" t="s">
        <v>17</v>
      </c>
      <c r="B215">
        <v>1</v>
      </c>
      <c r="C215">
        <v>11</v>
      </c>
      <c r="D215">
        <v>2311</v>
      </c>
      <c r="E215" s="59">
        <v>11.770595999905709</v>
      </c>
      <c r="F215">
        <v>10</v>
      </c>
    </row>
    <row r="216" spans="1:6">
      <c r="A216" t="s">
        <v>17</v>
      </c>
      <c r="B216">
        <v>1</v>
      </c>
      <c r="C216">
        <v>12</v>
      </c>
      <c r="D216">
        <v>289</v>
      </c>
      <c r="E216" s="59">
        <v>11.187254999981633</v>
      </c>
      <c r="F216">
        <v>11</v>
      </c>
    </row>
    <row r="217" spans="1:6">
      <c r="A217" t="s">
        <v>17</v>
      </c>
      <c r="B217">
        <v>1</v>
      </c>
      <c r="C217">
        <v>13</v>
      </c>
      <c r="D217">
        <v>1130</v>
      </c>
      <c r="E217" s="59">
        <v>11.334809000004498</v>
      </c>
      <c r="F217">
        <v>12</v>
      </c>
    </row>
    <row r="218" spans="1:6">
      <c r="A218" t="s">
        <v>17</v>
      </c>
      <c r="B218">
        <v>1</v>
      </c>
      <c r="C218">
        <v>14</v>
      </c>
      <c r="D218">
        <v>2589</v>
      </c>
      <c r="E218" s="59">
        <v>11.99949200008632</v>
      </c>
      <c r="F218">
        <v>13</v>
      </c>
    </row>
    <row r="219" spans="1:6">
      <c r="A219" t="s">
        <v>17</v>
      </c>
      <c r="B219">
        <v>1</v>
      </c>
      <c r="C219">
        <v>15</v>
      </c>
      <c r="D219">
        <v>1868</v>
      </c>
      <c r="E219" s="59">
        <v>11.857997999982215</v>
      </c>
      <c r="F219">
        <v>14</v>
      </c>
    </row>
    <row r="220" spans="1:6">
      <c r="A220" t="s">
        <v>17</v>
      </c>
      <c r="B220">
        <v>1</v>
      </c>
      <c r="C220">
        <v>16</v>
      </c>
      <c r="D220">
        <v>1296</v>
      </c>
      <c r="E220" s="59">
        <v>11.51412900003379</v>
      </c>
      <c r="F220">
        <v>15</v>
      </c>
    </row>
    <row r="221" spans="1:6">
      <c r="A221" t="s">
        <v>17</v>
      </c>
      <c r="B221">
        <v>1</v>
      </c>
      <c r="C221">
        <v>17</v>
      </c>
      <c r="D221">
        <v>1144</v>
      </c>
      <c r="E221" s="59">
        <v>11.923756000101092</v>
      </c>
      <c r="F221">
        <v>16</v>
      </c>
    </row>
    <row r="222" spans="1:6">
      <c r="A222" t="s">
        <v>17</v>
      </c>
      <c r="B222">
        <v>1</v>
      </c>
      <c r="C222">
        <v>18</v>
      </c>
      <c r="D222">
        <v>1881</v>
      </c>
      <c r="E222" s="59">
        <v>12.510561999988568</v>
      </c>
      <c r="F222">
        <v>17</v>
      </c>
    </row>
    <row r="223" spans="1:6">
      <c r="A223" t="s">
        <v>17</v>
      </c>
      <c r="B223">
        <v>1</v>
      </c>
      <c r="C223">
        <v>19</v>
      </c>
      <c r="D223">
        <v>686</v>
      </c>
      <c r="E223" s="59">
        <v>11.57278099992709</v>
      </c>
      <c r="F223">
        <v>18</v>
      </c>
    </row>
    <row r="224" spans="1:6">
      <c r="A224" t="s">
        <v>17</v>
      </c>
      <c r="B224">
        <v>1</v>
      </c>
      <c r="C224">
        <v>20</v>
      </c>
      <c r="D224">
        <v>1698</v>
      </c>
      <c r="E224" s="59">
        <v>11.294476999978542</v>
      </c>
      <c r="F224">
        <v>19</v>
      </c>
    </row>
    <row r="225" spans="1:6">
      <c r="A225" t="s">
        <v>17</v>
      </c>
      <c r="B225">
        <v>1</v>
      </c>
      <c r="C225">
        <v>21</v>
      </c>
      <c r="D225">
        <v>2358</v>
      </c>
      <c r="E225" s="59">
        <v>11.65449899997384</v>
      </c>
      <c r="F225">
        <v>20</v>
      </c>
    </row>
    <row r="226" spans="1:6">
      <c r="A226" t="s">
        <v>17</v>
      </c>
      <c r="B226">
        <v>1</v>
      </c>
      <c r="C226">
        <v>22</v>
      </c>
      <c r="D226">
        <v>1246</v>
      </c>
      <c r="E226" s="59">
        <v>12.067217999970126</v>
      </c>
      <c r="F226">
        <v>21</v>
      </c>
    </row>
    <row r="227" spans="1:6">
      <c r="A227" t="s">
        <v>17</v>
      </c>
      <c r="B227">
        <v>1</v>
      </c>
      <c r="C227">
        <v>23</v>
      </c>
      <c r="D227">
        <v>1046</v>
      </c>
      <c r="E227" s="59">
        <v>11.73079200009397</v>
      </c>
      <c r="F227">
        <v>22</v>
      </c>
    </row>
    <row r="228" spans="1:6">
      <c r="A228" t="s">
        <v>17</v>
      </c>
      <c r="B228">
        <v>1</v>
      </c>
      <c r="C228">
        <v>24</v>
      </c>
      <c r="D228">
        <v>399</v>
      </c>
      <c r="E228" s="59">
        <v>11.08891300009418</v>
      </c>
      <c r="F228">
        <v>23</v>
      </c>
    </row>
    <row r="229" spans="1:6">
      <c r="A229" t="s">
        <v>17</v>
      </c>
      <c r="B229">
        <v>1</v>
      </c>
      <c r="C229">
        <v>25</v>
      </c>
      <c r="D229">
        <v>1263</v>
      </c>
      <c r="E229" s="59">
        <v>11.42447600000196</v>
      </c>
      <c r="F229">
        <v>24</v>
      </c>
    </row>
    <row r="230" spans="1:6">
      <c r="A230" t="s">
        <v>17</v>
      </c>
      <c r="B230">
        <v>1</v>
      </c>
      <c r="C230">
        <v>26</v>
      </c>
      <c r="D230">
        <v>2211</v>
      </c>
      <c r="E230" s="59">
        <v>11.244071000078293</v>
      </c>
      <c r="F230">
        <v>25</v>
      </c>
    </row>
    <row r="231" spans="1:6">
      <c r="A231" t="s">
        <v>17</v>
      </c>
      <c r="B231">
        <v>1</v>
      </c>
      <c r="C231">
        <v>27</v>
      </c>
      <c r="D231">
        <v>1651</v>
      </c>
      <c r="E231" s="59">
        <v>11.122580000005655</v>
      </c>
      <c r="F231">
        <v>26</v>
      </c>
    </row>
    <row r="232" spans="1:6">
      <c r="A232" t="s">
        <v>17</v>
      </c>
      <c r="B232">
        <v>1</v>
      </c>
      <c r="C232">
        <v>28</v>
      </c>
      <c r="D232">
        <v>2393</v>
      </c>
      <c r="E232" s="59">
        <v>11.755225999991126</v>
      </c>
      <c r="F232">
        <v>27</v>
      </c>
    </row>
    <row r="233" spans="1:6">
      <c r="A233" t="s">
        <v>17</v>
      </c>
      <c r="B233">
        <v>1</v>
      </c>
      <c r="C233">
        <v>29</v>
      </c>
      <c r="D233">
        <v>692</v>
      </c>
      <c r="E233" s="59">
        <v>11.849532999917756</v>
      </c>
      <c r="F233">
        <v>28</v>
      </c>
    </row>
    <row r="234" spans="1:6">
      <c r="A234" t="s">
        <v>17</v>
      </c>
      <c r="B234">
        <v>1</v>
      </c>
      <c r="C234">
        <v>30</v>
      </c>
      <c r="D234">
        <v>155</v>
      </c>
      <c r="E234" s="59">
        <v>11.84925600000497</v>
      </c>
      <c r="F234">
        <v>29</v>
      </c>
    </row>
    <row r="235" spans="1:6">
      <c r="A235" t="s">
        <v>17</v>
      </c>
      <c r="B235">
        <v>1</v>
      </c>
      <c r="C235">
        <v>31</v>
      </c>
      <c r="D235">
        <v>1529</v>
      </c>
      <c r="E235" s="59">
        <v>12.13711200000489</v>
      </c>
      <c r="F235">
        <v>30</v>
      </c>
    </row>
    <row r="236" spans="1:6">
      <c r="A236" t="s">
        <v>17</v>
      </c>
      <c r="B236">
        <v>1</v>
      </c>
      <c r="C236">
        <v>32</v>
      </c>
      <c r="D236">
        <v>1103</v>
      </c>
      <c r="E236" s="59">
        <v>11.755026000059845</v>
      </c>
      <c r="F236">
        <v>31</v>
      </c>
    </row>
    <row r="237" spans="1:6">
      <c r="A237" t="s">
        <v>17</v>
      </c>
      <c r="B237">
        <v>1</v>
      </c>
      <c r="C237">
        <v>33</v>
      </c>
      <c r="D237">
        <v>2506</v>
      </c>
      <c r="E237" s="59">
        <v>11.549644999945484</v>
      </c>
      <c r="F237">
        <v>32</v>
      </c>
    </row>
    <row r="238" spans="1:6">
      <c r="A238" t="s">
        <v>17</v>
      </c>
      <c r="B238">
        <v>1</v>
      </c>
      <c r="C238">
        <v>34</v>
      </c>
      <c r="D238">
        <v>1092</v>
      </c>
      <c r="E238" s="59">
        <v>12.063009000030434</v>
      </c>
      <c r="F238">
        <v>33</v>
      </c>
    </row>
    <row r="239" spans="1:6">
      <c r="A239" t="s">
        <v>17</v>
      </c>
      <c r="B239">
        <v>1</v>
      </c>
      <c r="C239">
        <v>35</v>
      </c>
      <c r="D239">
        <v>916</v>
      </c>
      <c r="E239" s="59">
        <v>12.062434999961624</v>
      </c>
      <c r="F239">
        <v>34</v>
      </c>
    </row>
    <row r="240" spans="1:6">
      <c r="A240" t="s">
        <v>17</v>
      </c>
      <c r="B240">
        <v>1</v>
      </c>
      <c r="C240">
        <v>36</v>
      </c>
      <c r="D240">
        <v>2953</v>
      </c>
      <c r="E240" s="59">
        <v>11.535277999996651</v>
      </c>
      <c r="F240">
        <v>35</v>
      </c>
    </row>
    <row r="241" spans="1:6">
      <c r="A241" t="s">
        <v>17</v>
      </c>
      <c r="B241">
        <v>1</v>
      </c>
      <c r="C241">
        <v>37</v>
      </c>
      <c r="D241">
        <v>2132</v>
      </c>
      <c r="E241" s="59">
        <v>11.92737600001692</v>
      </c>
      <c r="F241">
        <v>36</v>
      </c>
    </row>
    <row r="242" spans="1:6">
      <c r="A242" t="s">
        <v>17</v>
      </c>
      <c r="B242">
        <v>1</v>
      </c>
      <c r="C242">
        <v>38</v>
      </c>
      <c r="D242">
        <v>1122</v>
      </c>
      <c r="E242" s="59">
        <v>13.402900000073714</v>
      </c>
      <c r="F242">
        <v>37</v>
      </c>
    </row>
    <row r="243" spans="1:6">
      <c r="A243" t="s">
        <v>17</v>
      </c>
      <c r="B243">
        <v>1</v>
      </c>
      <c r="C243">
        <v>39</v>
      </c>
      <c r="D243">
        <v>1639</v>
      </c>
      <c r="E243" s="59">
        <v>12.149290000024848</v>
      </c>
      <c r="F243">
        <v>38</v>
      </c>
    </row>
    <row r="244" spans="1:6">
      <c r="A244" t="s">
        <v>17</v>
      </c>
      <c r="B244">
        <v>1</v>
      </c>
      <c r="C244">
        <v>40</v>
      </c>
      <c r="D244">
        <v>1605</v>
      </c>
      <c r="E244" s="59">
        <v>11.169320000021798</v>
      </c>
      <c r="F244">
        <v>39</v>
      </c>
    </row>
    <row r="245" spans="1:6">
      <c r="A245" t="s">
        <v>17</v>
      </c>
      <c r="B245">
        <v>1</v>
      </c>
      <c r="C245">
        <v>41</v>
      </c>
      <c r="D245">
        <v>1760</v>
      </c>
      <c r="E245" s="59">
        <v>11.274222999986703</v>
      </c>
      <c r="F245">
        <v>40</v>
      </c>
    </row>
    <row r="246" spans="1:6">
      <c r="A246" t="s">
        <v>17</v>
      </c>
      <c r="B246">
        <v>1</v>
      </c>
      <c r="C246">
        <v>42</v>
      </c>
      <c r="D246">
        <v>1202</v>
      </c>
      <c r="E246" s="59">
        <v>11.619358999951146</v>
      </c>
      <c r="F246">
        <v>41</v>
      </c>
    </row>
    <row r="247" spans="1:6">
      <c r="A247" t="s">
        <v>17</v>
      </c>
      <c r="B247">
        <v>1</v>
      </c>
      <c r="C247">
        <v>43</v>
      </c>
      <c r="D247">
        <v>1115</v>
      </c>
      <c r="E247" s="59">
        <v>11.643384999956652</v>
      </c>
      <c r="F247">
        <v>42</v>
      </c>
    </row>
    <row r="248" spans="1:6">
      <c r="A248" t="s">
        <v>17</v>
      </c>
      <c r="B248">
        <v>1</v>
      </c>
      <c r="C248">
        <v>44</v>
      </c>
      <c r="D248">
        <v>2660</v>
      </c>
      <c r="E248" s="59">
        <v>11.349011999982396</v>
      </c>
      <c r="F248">
        <v>43</v>
      </c>
    </row>
    <row r="249" spans="1:6">
      <c r="A249" t="s">
        <v>17</v>
      </c>
      <c r="B249">
        <v>1</v>
      </c>
      <c r="C249">
        <v>45</v>
      </c>
      <c r="D249">
        <v>1170</v>
      </c>
      <c r="E249" s="59">
        <v>11.188715000002958</v>
      </c>
      <c r="F249">
        <v>44</v>
      </c>
    </row>
    <row r="250" spans="1:6">
      <c r="A250" t="s">
        <v>17</v>
      </c>
      <c r="B250">
        <v>1</v>
      </c>
      <c r="C250">
        <v>46</v>
      </c>
      <c r="D250">
        <v>2387</v>
      </c>
      <c r="E250" s="59">
        <v>11.669769000036467</v>
      </c>
      <c r="F250">
        <v>45</v>
      </c>
    </row>
    <row r="251" spans="1:6">
      <c r="A251" t="s">
        <v>17</v>
      </c>
      <c r="B251">
        <v>1</v>
      </c>
      <c r="C251">
        <v>47</v>
      </c>
      <c r="D251">
        <v>288</v>
      </c>
      <c r="E251" s="59">
        <v>11.448866000023372</v>
      </c>
      <c r="F251">
        <v>46</v>
      </c>
    </row>
    <row r="252" spans="1:6">
      <c r="A252" t="s">
        <v>17</v>
      </c>
      <c r="B252">
        <v>1</v>
      </c>
      <c r="C252">
        <v>48</v>
      </c>
      <c r="D252">
        <v>1464</v>
      </c>
      <c r="E252" s="59">
        <v>11.267072999999073</v>
      </c>
      <c r="F252">
        <v>47</v>
      </c>
    </row>
    <row r="253" spans="1:6">
      <c r="A253" t="s">
        <v>17</v>
      </c>
      <c r="B253">
        <v>1</v>
      </c>
      <c r="C253">
        <v>49</v>
      </c>
      <c r="D253">
        <v>2212</v>
      </c>
      <c r="E253" s="59">
        <v>11.068030000046749</v>
      </c>
      <c r="F253">
        <v>48</v>
      </c>
    </row>
    <row r="254" spans="1:6">
      <c r="A254" t="s">
        <v>17</v>
      </c>
      <c r="B254">
        <v>1</v>
      </c>
      <c r="C254">
        <v>50</v>
      </c>
      <c r="D254">
        <v>223</v>
      </c>
      <c r="E254" s="59">
        <v>11.45992900001147</v>
      </c>
      <c r="F254">
        <v>49</v>
      </c>
    </row>
    <row r="255" spans="1:6">
      <c r="A255" t="s">
        <v>17</v>
      </c>
      <c r="B255">
        <v>1</v>
      </c>
      <c r="C255">
        <v>51</v>
      </c>
      <c r="D255">
        <v>2578</v>
      </c>
      <c r="E255" s="59">
        <v>11.6275930000711</v>
      </c>
      <c r="F255">
        <v>50</v>
      </c>
    </row>
    <row r="256" spans="1:6">
      <c r="A256" t="s">
        <v>17</v>
      </c>
      <c r="B256">
        <v>1</v>
      </c>
      <c r="C256">
        <v>52</v>
      </c>
      <c r="D256">
        <v>2884</v>
      </c>
      <c r="E256" s="59">
        <v>11.34060699996553</v>
      </c>
      <c r="F256">
        <v>51</v>
      </c>
    </row>
    <row r="257" spans="1:6">
      <c r="A257" t="s">
        <v>17</v>
      </c>
      <c r="B257">
        <v>1</v>
      </c>
      <c r="C257">
        <v>53</v>
      </c>
      <c r="D257">
        <v>1610</v>
      </c>
      <c r="E257" s="59">
        <v>11.607513000058134</v>
      </c>
      <c r="F257">
        <v>52</v>
      </c>
    </row>
    <row r="258" spans="1:6">
      <c r="A258" t="s">
        <v>17</v>
      </c>
      <c r="B258">
        <v>1</v>
      </c>
      <c r="C258">
        <v>54</v>
      </c>
      <c r="D258">
        <v>1175</v>
      </c>
      <c r="E258" s="59">
        <v>11.700071000063872</v>
      </c>
      <c r="F258">
        <v>53</v>
      </c>
    </row>
    <row r="259" spans="1:6">
      <c r="A259" t="s">
        <v>17</v>
      </c>
      <c r="B259">
        <v>1</v>
      </c>
      <c r="C259">
        <v>55</v>
      </c>
      <c r="D259">
        <v>1467</v>
      </c>
      <c r="E259" s="59">
        <v>11.134839999954238</v>
      </c>
      <c r="F259">
        <v>54</v>
      </c>
    </row>
    <row r="260" spans="1:6">
      <c r="A260" t="s">
        <v>17</v>
      </c>
      <c r="B260">
        <v>1</v>
      </c>
      <c r="C260">
        <v>56</v>
      </c>
      <c r="D260">
        <v>1757</v>
      </c>
      <c r="E260" s="59">
        <v>11.638655000069775</v>
      </c>
      <c r="F260">
        <v>55</v>
      </c>
    </row>
    <row r="261" spans="1:6">
      <c r="A261" t="s">
        <v>17</v>
      </c>
      <c r="B261">
        <v>1</v>
      </c>
      <c r="C261">
        <v>57</v>
      </c>
      <c r="D261">
        <v>2114</v>
      </c>
      <c r="E261" s="59">
        <v>11.346706000040284</v>
      </c>
      <c r="F261">
        <v>56</v>
      </c>
    </row>
    <row r="262" spans="1:6">
      <c r="A262" t="s">
        <v>17</v>
      </c>
      <c r="B262">
        <v>1</v>
      </c>
      <c r="C262">
        <v>58</v>
      </c>
      <c r="D262">
        <v>773</v>
      </c>
      <c r="E262" s="59">
        <v>11.489149999988513</v>
      </c>
      <c r="F262">
        <v>57</v>
      </c>
    </row>
    <row r="263" spans="1:6">
      <c r="A263" t="s">
        <v>17</v>
      </c>
      <c r="B263">
        <v>1</v>
      </c>
      <c r="C263">
        <v>59</v>
      </c>
      <c r="D263">
        <v>470</v>
      </c>
      <c r="E263" s="59">
        <v>11.13287999999102</v>
      </c>
      <c r="F263">
        <v>58</v>
      </c>
    </row>
    <row r="264" spans="1:6">
      <c r="A264" t="s">
        <v>17</v>
      </c>
      <c r="B264">
        <v>1</v>
      </c>
      <c r="C264">
        <v>60</v>
      </c>
      <c r="D264">
        <v>872</v>
      </c>
      <c r="E264" s="59">
        <v>11.059538000040448</v>
      </c>
      <c r="F264">
        <v>59</v>
      </c>
    </row>
    <row r="265" spans="1:6">
      <c r="A265" t="s">
        <v>17</v>
      </c>
      <c r="B265">
        <v>1</v>
      </c>
      <c r="C265">
        <v>61</v>
      </c>
      <c r="D265">
        <v>2268</v>
      </c>
      <c r="E265" s="59">
        <v>12.846971999920244</v>
      </c>
      <c r="F265">
        <v>60</v>
      </c>
    </row>
    <row r="266" spans="1:6">
      <c r="A266" t="s">
        <v>17</v>
      </c>
      <c r="B266">
        <v>1</v>
      </c>
      <c r="C266">
        <v>62</v>
      </c>
      <c r="D266">
        <v>2716</v>
      </c>
      <c r="E266" s="59">
        <v>11.779617999991387</v>
      </c>
      <c r="F266">
        <v>61</v>
      </c>
    </row>
    <row r="267" spans="1:6">
      <c r="A267" t="s">
        <v>17</v>
      </c>
      <c r="B267">
        <v>1</v>
      </c>
      <c r="C267">
        <v>63</v>
      </c>
      <c r="D267">
        <v>2533</v>
      </c>
      <c r="E267" s="59">
        <v>11.699772999918425</v>
      </c>
      <c r="F267">
        <v>62</v>
      </c>
    </row>
    <row r="268" spans="1:6">
      <c r="A268" t="s">
        <v>17</v>
      </c>
      <c r="B268">
        <v>1</v>
      </c>
      <c r="C268">
        <v>64</v>
      </c>
      <c r="D268">
        <v>464</v>
      </c>
      <c r="E268" s="59">
        <v>11.312218999933066</v>
      </c>
      <c r="F268">
        <v>63</v>
      </c>
    </row>
    <row r="269" spans="1:6">
      <c r="A269" t="s">
        <v>17</v>
      </c>
      <c r="B269">
        <v>1</v>
      </c>
      <c r="C269">
        <v>65</v>
      </c>
      <c r="D269">
        <v>2672</v>
      </c>
      <c r="E269" s="59">
        <v>11.745041000040146</v>
      </c>
      <c r="F269">
        <v>64</v>
      </c>
    </row>
    <row r="270" spans="1:6">
      <c r="A270" t="s">
        <v>17</v>
      </c>
      <c r="B270">
        <v>1</v>
      </c>
      <c r="C270">
        <v>66</v>
      </c>
      <c r="D270">
        <v>2055</v>
      </c>
      <c r="E270" s="59">
        <v>11.459217000037825</v>
      </c>
      <c r="F270">
        <v>65</v>
      </c>
    </row>
    <row r="271" spans="1:6">
      <c r="A271" t="s">
        <v>17</v>
      </c>
      <c r="B271">
        <v>1</v>
      </c>
      <c r="C271">
        <v>67</v>
      </c>
      <c r="D271">
        <v>173</v>
      </c>
      <c r="E271" s="59">
        <v>11.228337999909854</v>
      </c>
      <c r="F271">
        <v>66</v>
      </c>
    </row>
    <row r="272" spans="1:6">
      <c r="A272" t="s">
        <v>17</v>
      </c>
      <c r="B272">
        <v>1</v>
      </c>
      <c r="C272">
        <v>68</v>
      </c>
      <c r="D272">
        <v>2936</v>
      </c>
      <c r="E272" s="59">
        <v>11.436640000056286</v>
      </c>
      <c r="F272">
        <v>67</v>
      </c>
    </row>
    <row r="273" spans="1:6">
      <c r="A273" t="s">
        <v>17</v>
      </c>
      <c r="B273">
        <v>1</v>
      </c>
      <c r="C273">
        <v>69</v>
      </c>
      <c r="D273">
        <v>1925</v>
      </c>
      <c r="E273" s="59">
        <v>11.394342000016875</v>
      </c>
      <c r="F273">
        <v>68</v>
      </c>
    </row>
    <row r="274" spans="1:6">
      <c r="A274" t="s">
        <v>17</v>
      </c>
      <c r="B274">
        <v>1</v>
      </c>
      <c r="C274">
        <v>70</v>
      </c>
      <c r="D274">
        <v>2388</v>
      </c>
      <c r="E274" s="59">
        <v>11.59446500003014</v>
      </c>
      <c r="F274">
        <v>69</v>
      </c>
    </row>
    <row r="275" spans="1:6">
      <c r="A275" t="s">
        <v>17</v>
      </c>
      <c r="B275">
        <v>1</v>
      </c>
      <c r="C275">
        <v>71</v>
      </c>
      <c r="D275">
        <v>1526</v>
      </c>
      <c r="E275" s="59">
        <v>11.364676999960466</v>
      </c>
      <c r="F275">
        <v>70</v>
      </c>
    </row>
    <row r="276" spans="1:6">
      <c r="A276" t="s">
        <v>17</v>
      </c>
      <c r="B276">
        <v>1</v>
      </c>
      <c r="C276">
        <v>72</v>
      </c>
      <c r="D276">
        <v>886</v>
      </c>
      <c r="E276" s="59">
        <v>11.14066900004218</v>
      </c>
      <c r="F276">
        <v>71</v>
      </c>
    </row>
    <row r="277" spans="1:6">
      <c r="A277" t="s">
        <v>17</v>
      </c>
      <c r="B277">
        <v>1</v>
      </c>
      <c r="C277">
        <v>73</v>
      </c>
      <c r="D277">
        <v>2478</v>
      </c>
      <c r="E277" s="59">
        <v>10.919672999989416</v>
      </c>
      <c r="F277">
        <v>72</v>
      </c>
    </row>
    <row r="278" spans="1:6">
      <c r="A278" t="s">
        <v>17</v>
      </c>
      <c r="B278">
        <v>1</v>
      </c>
      <c r="C278">
        <v>74</v>
      </c>
      <c r="D278">
        <v>1825</v>
      </c>
      <c r="E278" s="59">
        <v>11.522216000003027</v>
      </c>
      <c r="F278">
        <v>73</v>
      </c>
    </row>
    <row r="279" spans="1:6">
      <c r="A279" t="s">
        <v>17</v>
      </c>
      <c r="B279">
        <v>1</v>
      </c>
      <c r="C279">
        <v>75</v>
      </c>
      <c r="D279">
        <v>234</v>
      </c>
      <c r="E279" s="59">
        <v>16.55340900003921</v>
      </c>
      <c r="F279">
        <v>74</v>
      </c>
    </row>
    <row r="280" spans="1:6">
      <c r="A280" t="s">
        <v>17</v>
      </c>
      <c r="B280">
        <v>1</v>
      </c>
      <c r="C280">
        <v>76</v>
      </c>
      <c r="D280">
        <v>83</v>
      </c>
      <c r="E280" s="59">
        <v>13.2737570000927</v>
      </c>
      <c r="F280">
        <v>75</v>
      </c>
    </row>
    <row r="281" spans="1:6">
      <c r="A281" t="s">
        <v>17</v>
      </c>
      <c r="B281">
        <v>1</v>
      </c>
      <c r="C281">
        <v>77</v>
      </c>
      <c r="D281">
        <v>1634</v>
      </c>
      <c r="E281" s="59">
        <v>11.05018700002347</v>
      </c>
      <c r="F281">
        <v>76</v>
      </c>
    </row>
    <row r="282" spans="1:6">
      <c r="A282" t="s">
        <v>17</v>
      </c>
      <c r="B282">
        <v>1</v>
      </c>
      <c r="C282">
        <v>78</v>
      </c>
      <c r="D282">
        <v>1332</v>
      </c>
      <c r="E282" s="59">
        <v>11.211441000000375</v>
      </c>
      <c r="F282">
        <v>77</v>
      </c>
    </row>
    <row r="283" spans="1:6">
      <c r="A283" t="s">
        <v>17</v>
      </c>
      <c r="B283">
        <v>1</v>
      </c>
      <c r="C283">
        <v>79</v>
      </c>
      <c r="D283">
        <v>1784</v>
      </c>
      <c r="E283" s="59">
        <v>11.159378999991532</v>
      </c>
      <c r="F283">
        <v>78</v>
      </c>
    </row>
    <row r="284" spans="1:6">
      <c r="A284" t="s">
        <v>17</v>
      </c>
      <c r="B284">
        <v>1</v>
      </c>
      <c r="C284">
        <v>80</v>
      </c>
      <c r="D284">
        <v>1301</v>
      </c>
      <c r="E284" s="59">
        <v>11.204354000028616</v>
      </c>
      <c r="F284">
        <v>79</v>
      </c>
    </row>
    <row r="285" spans="1:6">
      <c r="A285" t="s">
        <v>17</v>
      </c>
      <c r="B285">
        <v>1</v>
      </c>
      <c r="C285">
        <v>81</v>
      </c>
      <c r="D285">
        <v>1924</v>
      </c>
      <c r="E285" s="59">
        <v>11.377758999969956</v>
      </c>
      <c r="F285">
        <v>80</v>
      </c>
    </row>
    <row r="286" spans="1:6">
      <c r="A286" t="s">
        <v>17</v>
      </c>
      <c r="B286">
        <v>1</v>
      </c>
      <c r="C286">
        <v>82</v>
      </c>
      <c r="D286">
        <v>120</v>
      </c>
      <c r="E286" s="59">
        <v>11.250912000036806</v>
      </c>
      <c r="F286">
        <v>81</v>
      </c>
    </row>
    <row r="287" spans="1:6">
      <c r="A287" t="s">
        <v>17</v>
      </c>
      <c r="B287">
        <v>1</v>
      </c>
      <c r="C287">
        <v>83</v>
      </c>
      <c r="D287">
        <v>661</v>
      </c>
      <c r="E287" s="59">
        <v>13.47663100000318</v>
      </c>
      <c r="F287">
        <v>82</v>
      </c>
    </row>
    <row r="288" spans="1:6">
      <c r="A288" t="s">
        <v>17</v>
      </c>
      <c r="B288">
        <v>1</v>
      </c>
      <c r="C288">
        <v>84</v>
      </c>
      <c r="D288">
        <v>2325</v>
      </c>
      <c r="E288" s="59">
        <v>17.383112000061374</v>
      </c>
      <c r="F288">
        <v>83</v>
      </c>
    </row>
    <row r="289" spans="1:6">
      <c r="A289" t="s">
        <v>17</v>
      </c>
      <c r="B289">
        <v>1</v>
      </c>
      <c r="C289">
        <v>85</v>
      </c>
      <c r="D289">
        <v>1999</v>
      </c>
      <c r="E289" s="59">
        <v>15.196811999999229</v>
      </c>
      <c r="F289">
        <v>84</v>
      </c>
    </row>
    <row r="290" spans="1:6">
      <c r="A290" t="s">
        <v>17</v>
      </c>
      <c r="B290">
        <v>1</v>
      </c>
      <c r="C290">
        <v>86</v>
      </c>
      <c r="D290">
        <v>539</v>
      </c>
      <c r="E290" s="59">
        <v>11.643655000057151</v>
      </c>
      <c r="F290">
        <v>85</v>
      </c>
    </row>
    <row r="291" spans="1:6">
      <c r="A291" t="s">
        <v>17</v>
      </c>
      <c r="B291">
        <v>1</v>
      </c>
      <c r="C291">
        <v>87</v>
      </c>
      <c r="D291">
        <v>367</v>
      </c>
      <c r="E291" s="59">
        <v>11.342179000052964</v>
      </c>
      <c r="F291">
        <v>86</v>
      </c>
    </row>
    <row r="292" spans="1:6">
      <c r="A292" t="s">
        <v>17</v>
      </c>
      <c r="B292">
        <v>1</v>
      </c>
      <c r="C292">
        <v>88</v>
      </c>
      <c r="D292">
        <v>609</v>
      </c>
      <c r="E292" s="59">
        <v>11.342221999939284</v>
      </c>
      <c r="F292">
        <v>87</v>
      </c>
    </row>
    <row r="293" spans="1:6">
      <c r="A293" t="s">
        <v>17</v>
      </c>
      <c r="B293">
        <v>1</v>
      </c>
      <c r="C293">
        <v>89</v>
      </c>
      <c r="D293">
        <v>378</v>
      </c>
      <c r="E293" s="59">
        <v>11.263880000001336</v>
      </c>
      <c r="F293">
        <v>88</v>
      </c>
    </row>
    <row r="294" spans="1:6">
      <c r="A294" t="s">
        <v>17</v>
      </c>
      <c r="B294">
        <v>1</v>
      </c>
      <c r="C294">
        <v>90</v>
      </c>
      <c r="D294">
        <v>2037</v>
      </c>
      <c r="E294" s="59">
        <v>11.863754999922094</v>
      </c>
      <c r="F294">
        <v>89</v>
      </c>
    </row>
    <row r="295" spans="1:6">
      <c r="A295" t="s">
        <v>17</v>
      </c>
      <c r="B295">
        <v>1</v>
      </c>
      <c r="C295">
        <v>91</v>
      </c>
      <c r="D295">
        <v>1356</v>
      </c>
      <c r="E295" s="59">
        <v>11.212103000048046</v>
      </c>
      <c r="F295">
        <v>90</v>
      </c>
    </row>
    <row r="296" spans="1:6">
      <c r="A296" t="s">
        <v>17</v>
      </c>
      <c r="B296">
        <v>1</v>
      </c>
      <c r="C296">
        <v>92</v>
      </c>
      <c r="D296">
        <v>1693</v>
      </c>
      <c r="E296" s="59">
        <v>11.110583000004226</v>
      </c>
      <c r="F296">
        <v>91</v>
      </c>
    </row>
    <row r="297" spans="1:6">
      <c r="A297" t="s">
        <v>17</v>
      </c>
      <c r="B297">
        <v>1</v>
      </c>
      <c r="C297">
        <v>93</v>
      </c>
      <c r="D297">
        <v>337</v>
      </c>
      <c r="E297" s="59">
        <v>11.524219000079938</v>
      </c>
      <c r="F297">
        <v>92</v>
      </c>
    </row>
    <row r="298" spans="1:6">
      <c r="A298" t="s">
        <v>17</v>
      </c>
      <c r="B298">
        <v>1</v>
      </c>
      <c r="C298">
        <v>94</v>
      </c>
      <c r="D298">
        <v>1597</v>
      </c>
      <c r="E298" s="59">
        <v>11.219263000043613</v>
      </c>
      <c r="F298">
        <v>93</v>
      </c>
    </row>
    <row r="299" spans="1:6">
      <c r="A299" t="s">
        <v>17</v>
      </c>
      <c r="B299">
        <v>1</v>
      </c>
      <c r="C299">
        <v>95</v>
      </c>
      <c r="D299">
        <v>1265</v>
      </c>
      <c r="E299" s="59">
        <v>11.835819999987509</v>
      </c>
      <c r="F299">
        <v>94</v>
      </c>
    </row>
    <row r="300" spans="1:6">
      <c r="A300" t="s">
        <v>17</v>
      </c>
      <c r="B300">
        <v>1</v>
      </c>
      <c r="C300">
        <v>96</v>
      </c>
      <c r="D300">
        <v>192</v>
      </c>
      <c r="E300" s="59">
        <v>11.394505999987814</v>
      </c>
      <c r="F300">
        <v>95</v>
      </c>
    </row>
    <row r="301" spans="1:6">
      <c r="A301" t="s">
        <v>17</v>
      </c>
      <c r="B301">
        <v>1</v>
      </c>
      <c r="C301">
        <v>97</v>
      </c>
      <c r="D301">
        <v>2326</v>
      </c>
      <c r="E301" s="59">
        <v>11.288675999935547</v>
      </c>
      <c r="F301">
        <v>96</v>
      </c>
    </row>
    <row r="302" spans="1:6">
      <c r="A302" t="s">
        <v>17</v>
      </c>
      <c r="B302">
        <v>1</v>
      </c>
      <c r="C302">
        <v>98</v>
      </c>
      <c r="D302">
        <v>1055</v>
      </c>
      <c r="E302" s="59">
        <v>11.318436999999903</v>
      </c>
      <c r="F302">
        <v>97</v>
      </c>
    </row>
    <row r="303" spans="1:6">
      <c r="A303" t="s">
        <v>17</v>
      </c>
      <c r="B303">
        <v>1</v>
      </c>
      <c r="C303">
        <v>99</v>
      </c>
      <c r="D303">
        <v>2296</v>
      </c>
      <c r="E303" s="59">
        <v>11.552735000009308</v>
      </c>
      <c r="F303">
        <v>98</v>
      </c>
    </row>
    <row r="304" spans="1:6">
      <c r="A304" t="s">
        <v>17</v>
      </c>
      <c r="B304">
        <v>1</v>
      </c>
      <c r="C304">
        <v>100</v>
      </c>
      <c r="D304">
        <v>1710</v>
      </c>
      <c r="E304" s="59">
        <v>12.773313000025157</v>
      </c>
      <c r="F304">
        <v>99</v>
      </c>
    </row>
    <row r="305" spans="1:6">
      <c r="A305" t="s">
        <v>21</v>
      </c>
      <c r="B305">
        <v>1</v>
      </c>
      <c r="C305">
        <v>1</v>
      </c>
      <c r="D305">
        <v>1750</v>
      </c>
      <c r="E305" s="59">
        <v>3.074563000041053</v>
      </c>
      <c r="F305">
        <v>0</v>
      </c>
    </row>
    <row r="306" spans="1:6">
      <c r="A306" t="s">
        <v>21</v>
      </c>
      <c r="B306">
        <v>1</v>
      </c>
      <c r="C306">
        <v>2</v>
      </c>
      <c r="D306">
        <v>98</v>
      </c>
      <c r="E306" s="59">
        <v>3.3715179999944667</v>
      </c>
      <c r="F306">
        <v>1</v>
      </c>
    </row>
    <row r="307" spans="1:6">
      <c r="A307" t="s">
        <v>21</v>
      </c>
      <c r="B307">
        <v>1</v>
      </c>
      <c r="C307">
        <v>3</v>
      </c>
      <c r="D307">
        <v>141</v>
      </c>
      <c r="E307" s="59">
        <v>3.009967999901164</v>
      </c>
      <c r="F307">
        <v>2</v>
      </c>
    </row>
    <row r="308" spans="1:6">
      <c r="A308" t="s">
        <v>21</v>
      </c>
      <c r="B308">
        <v>1</v>
      </c>
      <c r="C308">
        <v>4</v>
      </c>
      <c r="D308">
        <v>2106</v>
      </c>
      <c r="E308" s="59">
        <v>3.047938999998223</v>
      </c>
      <c r="F308">
        <v>3</v>
      </c>
    </row>
    <row r="309" spans="1:6">
      <c r="A309" t="s">
        <v>21</v>
      </c>
      <c r="B309">
        <v>1</v>
      </c>
      <c r="C309">
        <v>5</v>
      </c>
      <c r="D309">
        <v>1242</v>
      </c>
      <c r="E309" s="59">
        <v>2.7412579999008813</v>
      </c>
      <c r="F309">
        <v>4</v>
      </c>
    </row>
    <row r="310" spans="1:6">
      <c r="A310" t="s">
        <v>21</v>
      </c>
      <c r="B310">
        <v>1</v>
      </c>
      <c r="C310">
        <v>6</v>
      </c>
      <c r="D310">
        <v>993</v>
      </c>
      <c r="E310" s="59">
        <v>3.010817000017596</v>
      </c>
      <c r="F310">
        <v>5</v>
      </c>
    </row>
    <row r="311" spans="1:6">
      <c r="A311" t="s">
        <v>21</v>
      </c>
      <c r="B311">
        <v>1</v>
      </c>
      <c r="C311">
        <v>7</v>
      </c>
      <c r="D311">
        <v>995</v>
      </c>
      <c r="E311" s="59">
        <v>2.7702859999862994</v>
      </c>
      <c r="F311">
        <v>6</v>
      </c>
    </row>
    <row r="312" spans="1:6">
      <c r="A312" t="s">
        <v>21</v>
      </c>
      <c r="B312">
        <v>1</v>
      </c>
      <c r="C312">
        <v>8</v>
      </c>
      <c r="D312">
        <v>663</v>
      </c>
      <c r="E312" s="59">
        <v>3.032429999962005</v>
      </c>
      <c r="F312">
        <v>7</v>
      </c>
    </row>
    <row r="313" spans="1:6">
      <c r="A313" t="s">
        <v>21</v>
      </c>
      <c r="B313">
        <v>1</v>
      </c>
      <c r="C313">
        <v>9</v>
      </c>
      <c r="D313">
        <v>37</v>
      </c>
      <c r="E313" s="59">
        <v>2.682230999994317</v>
      </c>
      <c r="F313">
        <v>8</v>
      </c>
    </row>
    <row r="314" spans="1:6">
      <c r="A314" t="s">
        <v>21</v>
      </c>
      <c r="B314">
        <v>1</v>
      </c>
      <c r="C314">
        <v>10</v>
      </c>
      <c r="D314">
        <v>4</v>
      </c>
      <c r="E314" s="59">
        <v>2.86065399996005</v>
      </c>
      <c r="F314">
        <v>9</v>
      </c>
    </row>
    <row r="315" spans="1:6">
      <c r="A315" t="s">
        <v>21</v>
      </c>
      <c r="B315">
        <v>1</v>
      </c>
      <c r="C315">
        <v>11</v>
      </c>
      <c r="D315">
        <v>2311</v>
      </c>
      <c r="E315" s="59">
        <v>2.766291999932946</v>
      </c>
      <c r="F315">
        <v>10</v>
      </c>
    </row>
    <row r="316" spans="1:6">
      <c r="A316" t="s">
        <v>21</v>
      </c>
      <c r="B316">
        <v>1</v>
      </c>
      <c r="C316">
        <v>12</v>
      </c>
      <c r="D316">
        <v>289</v>
      </c>
      <c r="E316" s="59">
        <v>2.830557000038425</v>
      </c>
      <c r="F316">
        <v>11</v>
      </c>
    </row>
    <row r="317" spans="1:6">
      <c r="A317" t="s">
        <v>21</v>
      </c>
      <c r="B317">
        <v>1</v>
      </c>
      <c r="C317">
        <v>13</v>
      </c>
      <c r="D317">
        <v>1130</v>
      </c>
      <c r="E317" s="59">
        <v>3.213506999941273</v>
      </c>
      <c r="F317">
        <v>12</v>
      </c>
    </row>
    <row r="318" spans="1:6">
      <c r="A318" t="s">
        <v>21</v>
      </c>
      <c r="B318">
        <v>1</v>
      </c>
      <c r="C318">
        <v>14</v>
      </c>
      <c r="D318">
        <v>2589</v>
      </c>
      <c r="E318" s="59">
        <v>2.987181000094097</v>
      </c>
      <c r="F318">
        <v>13</v>
      </c>
    </row>
    <row r="319" spans="1:6">
      <c r="A319" t="s">
        <v>21</v>
      </c>
      <c r="B319">
        <v>1</v>
      </c>
      <c r="C319">
        <v>15</v>
      </c>
      <c r="D319">
        <v>1868</v>
      </c>
      <c r="E319" s="59">
        <v>3.12813699997605</v>
      </c>
      <c r="F319">
        <v>14</v>
      </c>
    </row>
    <row r="320" spans="1:6">
      <c r="A320" t="s">
        <v>21</v>
      </c>
      <c r="B320">
        <v>1</v>
      </c>
      <c r="C320">
        <v>16</v>
      </c>
      <c r="D320">
        <v>1296</v>
      </c>
      <c r="E320" s="59">
        <v>2.6684069999873827</v>
      </c>
      <c r="F320">
        <v>15</v>
      </c>
    </row>
    <row r="321" spans="1:6">
      <c r="A321" t="s">
        <v>21</v>
      </c>
      <c r="B321">
        <v>1</v>
      </c>
      <c r="C321">
        <v>17</v>
      </c>
      <c r="D321">
        <v>1144</v>
      </c>
      <c r="E321" s="59">
        <v>2.632465000033335</v>
      </c>
      <c r="F321">
        <v>16</v>
      </c>
    </row>
    <row r="322" spans="1:6">
      <c r="A322" t="s">
        <v>21</v>
      </c>
      <c r="B322">
        <v>1</v>
      </c>
      <c r="C322">
        <v>18</v>
      </c>
      <c r="D322">
        <v>1881</v>
      </c>
      <c r="E322" s="59">
        <v>2.638855999975931</v>
      </c>
      <c r="F322">
        <v>17</v>
      </c>
    </row>
    <row r="323" spans="1:6">
      <c r="A323" t="s">
        <v>21</v>
      </c>
      <c r="B323">
        <v>1</v>
      </c>
      <c r="C323">
        <v>19</v>
      </c>
      <c r="D323">
        <v>686</v>
      </c>
      <c r="E323" s="59">
        <v>2.6736030000620303</v>
      </c>
      <c r="F323">
        <v>18</v>
      </c>
    </row>
    <row r="324" spans="1:6">
      <c r="A324" t="s">
        <v>21</v>
      </c>
      <c r="B324">
        <v>1</v>
      </c>
      <c r="C324">
        <v>20</v>
      </c>
      <c r="D324">
        <v>1698</v>
      </c>
      <c r="E324" s="59">
        <v>2.663525999992089</v>
      </c>
      <c r="F324">
        <v>19</v>
      </c>
    </row>
    <row r="325" spans="1:6">
      <c r="A325" t="s">
        <v>21</v>
      </c>
      <c r="B325">
        <v>1</v>
      </c>
      <c r="C325">
        <v>21</v>
      </c>
      <c r="D325">
        <v>2358</v>
      </c>
      <c r="E325" s="59">
        <v>2.970204999996895</v>
      </c>
      <c r="F325">
        <v>20</v>
      </c>
    </row>
    <row r="326" spans="1:6">
      <c r="A326" t="s">
        <v>21</v>
      </c>
      <c r="B326">
        <v>1</v>
      </c>
      <c r="C326">
        <v>22</v>
      </c>
      <c r="D326">
        <v>1246</v>
      </c>
      <c r="E326" s="59">
        <v>2.8016280000429106</v>
      </c>
      <c r="F326">
        <v>21</v>
      </c>
    </row>
    <row r="327" spans="1:6">
      <c r="A327" t="s">
        <v>21</v>
      </c>
      <c r="B327">
        <v>1</v>
      </c>
      <c r="C327">
        <v>23</v>
      </c>
      <c r="D327">
        <v>1046</v>
      </c>
      <c r="E327" s="59">
        <v>2.643156999965868</v>
      </c>
      <c r="F327">
        <v>22</v>
      </c>
    </row>
    <row r="328" spans="1:6">
      <c r="A328" t="s">
        <v>21</v>
      </c>
      <c r="B328">
        <v>1</v>
      </c>
      <c r="C328">
        <v>24</v>
      </c>
      <c r="D328">
        <v>399</v>
      </c>
      <c r="E328" s="59">
        <v>2.843299999994997</v>
      </c>
      <c r="F328">
        <v>23</v>
      </c>
    </row>
    <row r="329" spans="1:6">
      <c r="A329" t="s">
        <v>21</v>
      </c>
      <c r="B329">
        <v>1</v>
      </c>
      <c r="C329">
        <v>25</v>
      </c>
      <c r="D329">
        <v>1263</v>
      </c>
      <c r="E329" s="59">
        <v>3.055256000038753</v>
      </c>
      <c r="F329">
        <v>24</v>
      </c>
    </row>
    <row r="330" spans="1:6">
      <c r="A330" t="s">
        <v>21</v>
      </c>
      <c r="B330">
        <v>1</v>
      </c>
      <c r="C330">
        <v>26</v>
      </c>
      <c r="D330">
        <v>2211</v>
      </c>
      <c r="E330" s="59">
        <v>2.8649460000451654</v>
      </c>
      <c r="F330">
        <v>25</v>
      </c>
    </row>
    <row r="331" spans="1:6">
      <c r="A331" t="s">
        <v>21</v>
      </c>
      <c r="B331">
        <v>1</v>
      </c>
      <c r="C331">
        <v>27</v>
      </c>
      <c r="D331">
        <v>1651</v>
      </c>
      <c r="E331" s="59">
        <v>2.7769360000320376</v>
      </c>
      <c r="F331">
        <v>26</v>
      </c>
    </row>
    <row r="332" spans="1:6">
      <c r="A332" t="s">
        <v>21</v>
      </c>
      <c r="B332">
        <v>1</v>
      </c>
      <c r="C332">
        <v>28</v>
      </c>
      <c r="D332">
        <v>2393</v>
      </c>
      <c r="E332" s="59">
        <v>2.726978000055169</v>
      </c>
      <c r="F332">
        <v>27</v>
      </c>
    </row>
    <row r="333" spans="1:6">
      <c r="A333" t="s">
        <v>21</v>
      </c>
      <c r="B333">
        <v>1</v>
      </c>
      <c r="C333">
        <v>29</v>
      </c>
      <c r="D333">
        <v>692</v>
      </c>
      <c r="E333" s="59">
        <v>2.8505090000408018</v>
      </c>
      <c r="F333">
        <v>28</v>
      </c>
    </row>
    <row r="334" spans="1:6">
      <c r="A334" t="s">
        <v>21</v>
      </c>
      <c r="B334">
        <v>1</v>
      </c>
      <c r="C334">
        <v>30</v>
      </c>
      <c r="D334">
        <v>155</v>
      </c>
      <c r="E334" s="59">
        <v>2.888161999976546</v>
      </c>
      <c r="F334">
        <v>29</v>
      </c>
    </row>
    <row r="335" spans="1:6">
      <c r="A335" t="s">
        <v>21</v>
      </c>
      <c r="B335">
        <v>1</v>
      </c>
      <c r="C335">
        <v>31</v>
      </c>
      <c r="D335">
        <v>1529</v>
      </c>
      <c r="E335" s="59">
        <v>3.133161000050677</v>
      </c>
      <c r="F335">
        <v>30</v>
      </c>
    </row>
    <row r="336" spans="1:6">
      <c r="A336" t="s">
        <v>21</v>
      </c>
      <c r="B336">
        <v>1</v>
      </c>
      <c r="C336">
        <v>32</v>
      </c>
      <c r="D336">
        <v>1103</v>
      </c>
      <c r="E336" s="59">
        <v>2.849262999916391</v>
      </c>
      <c r="F336">
        <v>31</v>
      </c>
    </row>
    <row r="337" spans="1:6">
      <c r="A337" t="s">
        <v>21</v>
      </c>
      <c r="B337">
        <v>1</v>
      </c>
      <c r="C337">
        <v>33</v>
      </c>
      <c r="D337">
        <v>2506</v>
      </c>
      <c r="E337" s="59">
        <v>2.652990000001409</v>
      </c>
      <c r="F337">
        <v>32</v>
      </c>
    </row>
    <row r="338" spans="1:6">
      <c r="A338" t="s">
        <v>21</v>
      </c>
      <c r="B338">
        <v>1</v>
      </c>
      <c r="C338">
        <v>34</v>
      </c>
      <c r="D338">
        <v>1092</v>
      </c>
      <c r="E338" s="59">
        <v>3.001591999918673</v>
      </c>
      <c r="F338">
        <v>33</v>
      </c>
    </row>
    <row r="339" spans="1:6">
      <c r="A339" t="s">
        <v>21</v>
      </c>
      <c r="B339">
        <v>1</v>
      </c>
      <c r="C339">
        <v>35</v>
      </c>
      <c r="D339">
        <v>916</v>
      </c>
      <c r="E339" s="59">
        <v>2.905900999962796</v>
      </c>
      <c r="F339">
        <v>34</v>
      </c>
    </row>
    <row r="340" spans="1:6">
      <c r="A340" t="s">
        <v>21</v>
      </c>
      <c r="B340">
        <v>1</v>
      </c>
      <c r="C340">
        <v>36</v>
      </c>
      <c r="D340">
        <v>2953</v>
      </c>
      <c r="E340" s="59">
        <v>2.9595849999850543</v>
      </c>
      <c r="F340">
        <v>35</v>
      </c>
    </row>
    <row r="341" spans="1:6">
      <c r="A341" t="s">
        <v>21</v>
      </c>
      <c r="B341">
        <v>1</v>
      </c>
      <c r="C341">
        <v>37</v>
      </c>
      <c r="D341">
        <v>2132</v>
      </c>
      <c r="E341" s="59">
        <v>2.9636640000489933</v>
      </c>
      <c r="F341">
        <v>36</v>
      </c>
    </row>
    <row r="342" spans="1:6">
      <c r="A342" t="s">
        <v>21</v>
      </c>
      <c r="B342">
        <v>1</v>
      </c>
      <c r="C342">
        <v>38</v>
      </c>
      <c r="D342">
        <v>1122</v>
      </c>
      <c r="E342" s="59">
        <v>2.847671999916201</v>
      </c>
      <c r="F342">
        <v>37</v>
      </c>
    </row>
    <row r="343" spans="1:6">
      <c r="A343" t="s">
        <v>21</v>
      </c>
      <c r="B343">
        <v>1</v>
      </c>
      <c r="C343">
        <v>39</v>
      </c>
      <c r="D343">
        <v>1639</v>
      </c>
      <c r="E343" s="59">
        <v>2.7620529999694554</v>
      </c>
      <c r="F343">
        <v>38</v>
      </c>
    </row>
    <row r="344" spans="1:6">
      <c r="A344" t="s">
        <v>21</v>
      </c>
      <c r="B344">
        <v>1</v>
      </c>
      <c r="C344">
        <v>40</v>
      </c>
      <c r="D344">
        <v>1605</v>
      </c>
      <c r="E344" s="59">
        <v>2.619098999957714</v>
      </c>
      <c r="F344">
        <v>39</v>
      </c>
    </row>
    <row r="345" spans="1:6">
      <c r="A345" t="s">
        <v>21</v>
      </c>
      <c r="B345">
        <v>1</v>
      </c>
      <c r="C345">
        <v>41</v>
      </c>
      <c r="D345">
        <v>1760</v>
      </c>
      <c r="E345" s="59">
        <v>2.7461280000125043</v>
      </c>
      <c r="F345">
        <v>40</v>
      </c>
    </row>
    <row r="346" spans="1:6">
      <c r="A346" t="s">
        <v>21</v>
      </c>
      <c r="B346">
        <v>1</v>
      </c>
      <c r="C346">
        <v>42</v>
      </c>
      <c r="D346">
        <v>1202</v>
      </c>
      <c r="E346" s="59">
        <v>2.734309999937068</v>
      </c>
      <c r="F346">
        <v>41</v>
      </c>
    </row>
    <row r="347" spans="1:6">
      <c r="A347" t="s">
        <v>21</v>
      </c>
      <c r="B347">
        <v>1</v>
      </c>
      <c r="C347">
        <v>43</v>
      </c>
      <c r="D347">
        <v>1115</v>
      </c>
      <c r="E347" s="59">
        <v>2.8690350000033504</v>
      </c>
      <c r="F347">
        <v>42</v>
      </c>
    </row>
    <row r="348" spans="1:6">
      <c r="A348" t="s">
        <v>21</v>
      </c>
      <c r="B348">
        <v>1</v>
      </c>
      <c r="C348">
        <v>44</v>
      </c>
      <c r="D348">
        <v>2660</v>
      </c>
      <c r="E348" s="59">
        <v>2.771385999949416</v>
      </c>
      <c r="F348">
        <v>43</v>
      </c>
    </row>
    <row r="349" spans="1:6">
      <c r="A349" t="s">
        <v>21</v>
      </c>
      <c r="B349">
        <v>1</v>
      </c>
      <c r="C349">
        <v>45</v>
      </c>
      <c r="D349">
        <v>1170</v>
      </c>
      <c r="E349" s="59">
        <v>2.8265879999480603</v>
      </c>
      <c r="F349">
        <v>44</v>
      </c>
    </row>
    <row r="350" spans="1:6">
      <c r="A350" t="s">
        <v>21</v>
      </c>
      <c r="B350">
        <v>1</v>
      </c>
      <c r="C350">
        <v>46</v>
      </c>
      <c r="D350">
        <v>2387</v>
      </c>
      <c r="E350" s="59">
        <v>2.771224999946753</v>
      </c>
      <c r="F350">
        <v>45</v>
      </c>
    </row>
    <row r="351" spans="1:6">
      <c r="A351" t="s">
        <v>21</v>
      </c>
      <c r="B351">
        <v>1</v>
      </c>
      <c r="C351">
        <v>47</v>
      </c>
      <c r="D351">
        <v>288</v>
      </c>
      <c r="E351" s="59">
        <v>2.7082670000027065</v>
      </c>
      <c r="F351">
        <v>46</v>
      </c>
    </row>
    <row r="352" spans="1:6">
      <c r="A352" t="s">
        <v>21</v>
      </c>
      <c r="B352">
        <v>1</v>
      </c>
      <c r="C352">
        <v>48</v>
      </c>
      <c r="D352">
        <v>1464</v>
      </c>
      <c r="E352" s="59">
        <v>2.777995000087685</v>
      </c>
      <c r="F352">
        <v>47</v>
      </c>
    </row>
    <row r="353" spans="1:6">
      <c r="A353" t="s">
        <v>21</v>
      </c>
      <c r="B353">
        <v>1</v>
      </c>
      <c r="C353">
        <v>49</v>
      </c>
      <c r="D353">
        <v>2212</v>
      </c>
      <c r="E353" s="59">
        <v>3.008559000022615</v>
      </c>
      <c r="F353">
        <v>48</v>
      </c>
    </row>
    <row r="354" spans="1:6">
      <c r="A354" t="s">
        <v>21</v>
      </c>
      <c r="B354">
        <v>1</v>
      </c>
      <c r="C354">
        <v>50</v>
      </c>
      <c r="D354">
        <v>223</v>
      </c>
      <c r="E354" s="59">
        <v>3.4166650000315717</v>
      </c>
      <c r="F354">
        <v>49</v>
      </c>
    </row>
    <row r="355" spans="1:6">
      <c r="A355" t="s">
        <v>21</v>
      </c>
      <c r="B355">
        <v>1</v>
      </c>
      <c r="C355">
        <v>51</v>
      </c>
      <c r="D355">
        <v>2578</v>
      </c>
      <c r="E355" s="59">
        <v>3.270231999977113</v>
      </c>
      <c r="F355">
        <v>50</v>
      </c>
    </row>
    <row r="356" spans="1:6">
      <c r="A356" t="s">
        <v>21</v>
      </c>
      <c r="B356">
        <v>1</v>
      </c>
      <c r="C356">
        <v>52</v>
      </c>
      <c r="D356">
        <v>2884</v>
      </c>
      <c r="E356" s="59">
        <v>3.269086000045718</v>
      </c>
      <c r="F356">
        <v>51</v>
      </c>
    </row>
    <row r="357" spans="1:6">
      <c r="A357" t="s">
        <v>21</v>
      </c>
      <c r="B357">
        <v>1</v>
      </c>
      <c r="C357">
        <v>53</v>
      </c>
      <c r="D357">
        <v>1610</v>
      </c>
      <c r="E357" s="59">
        <v>4.298456000014994</v>
      </c>
      <c r="F357">
        <v>52</v>
      </c>
    </row>
    <row r="358" spans="1:6">
      <c r="A358" t="s">
        <v>21</v>
      </c>
      <c r="B358">
        <v>1</v>
      </c>
      <c r="C358">
        <v>54</v>
      </c>
      <c r="D358">
        <v>1175</v>
      </c>
      <c r="E358" s="59">
        <v>4.527424999992036</v>
      </c>
      <c r="F358">
        <v>53</v>
      </c>
    </row>
    <row r="359" spans="1:6">
      <c r="A359" t="s">
        <v>21</v>
      </c>
      <c r="B359">
        <v>1</v>
      </c>
      <c r="C359">
        <v>55</v>
      </c>
      <c r="D359">
        <v>1467</v>
      </c>
      <c r="E359" s="59">
        <v>4.515925000077914</v>
      </c>
      <c r="F359">
        <v>54</v>
      </c>
    </row>
    <row r="360" spans="1:6">
      <c r="A360" t="s">
        <v>21</v>
      </c>
      <c r="B360">
        <v>1</v>
      </c>
      <c r="C360">
        <v>56</v>
      </c>
      <c r="D360">
        <v>1757</v>
      </c>
      <c r="E360" s="59">
        <v>4.112925999947947</v>
      </c>
      <c r="F360">
        <v>55</v>
      </c>
    </row>
    <row r="361" spans="1:6">
      <c r="A361" t="s">
        <v>21</v>
      </c>
      <c r="B361">
        <v>1</v>
      </c>
      <c r="C361">
        <v>57</v>
      </c>
      <c r="D361">
        <v>2114</v>
      </c>
      <c r="E361" s="59">
        <v>2.9955060000474987</v>
      </c>
      <c r="F361">
        <v>56</v>
      </c>
    </row>
    <row r="362" spans="1:6">
      <c r="A362" t="s">
        <v>21</v>
      </c>
      <c r="B362">
        <v>1</v>
      </c>
      <c r="C362">
        <v>58</v>
      </c>
      <c r="D362">
        <v>773</v>
      </c>
      <c r="E362" s="59">
        <v>2.908292000029178</v>
      </c>
      <c r="F362">
        <v>57</v>
      </c>
    </row>
    <row r="363" spans="1:6">
      <c r="A363" t="s">
        <v>21</v>
      </c>
      <c r="B363">
        <v>1</v>
      </c>
      <c r="C363">
        <v>59</v>
      </c>
      <c r="D363">
        <v>470</v>
      </c>
      <c r="E363" s="59">
        <v>2.860780999981216</v>
      </c>
      <c r="F363">
        <v>58</v>
      </c>
    </row>
    <row r="364" spans="1:6">
      <c r="A364" t="s">
        <v>21</v>
      </c>
      <c r="B364">
        <v>1</v>
      </c>
      <c r="C364">
        <v>60</v>
      </c>
      <c r="D364">
        <v>872</v>
      </c>
      <c r="E364" s="59">
        <v>2.8028159999848867</v>
      </c>
      <c r="F364">
        <v>59</v>
      </c>
    </row>
    <row r="365" spans="1:6">
      <c r="A365" t="s">
        <v>21</v>
      </c>
      <c r="B365">
        <v>1</v>
      </c>
      <c r="C365">
        <v>61</v>
      </c>
      <c r="D365">
        <v>2268</v>
      </c>
      <c r="E365" s="59">
        <v>2.8080790000331035</v>
      </c>
      <c r="F365">
        <v>60</v>
      </c>
    </row>
    <row r="366" spans="1:6">
      <c r="A366" t="s">
        <v>21</v>
      </c>
      <c r="B366">
        <v>1</v>
      </c>
      <c r="C366">
        <v>62</v>
      </c>
      <c r="D366">
        <v>2716</v>
      </c>
      <c r="E366" s="59">
        <v>2.9016619999993054</v>
      </c>
      <c r="F366">
        <v>61</v>
      </c>
    </row>
    <row r="367" spans="1:6">
      <c r="A367" t="s">
        <v>21</v>
      </c>
      <c r="B367">
        <v>1</v>
      </c>
      <c r="C367">
        <v>63</v>
      </c>
      <c r="D367">
        <v>2533</v>
      </c>
      <c r="E367" s="59">
        <v>2.843127000005552</v>
      </c>
      <c r="F367">
        <v>62</v>
      </c>
    </row>
    <row r="368" spans="1:6">
      <c r="A368" t="s">
        <v>21</v>
      </c>
      <c r="B368">
        <v>1</v>
      </c>
      <c r="C368">
        <v>64</v>
      </c>
      <c r="D368">
        <v>464</v>
      </c>
      <c r="E368" s="59">
        <v>3.060664000031465</v>
      </c>
      <c r="F368">
        <v>63</v>
      </c>
    </row>
    <row r="369" spans="1:6">
      <c r="A369" t="s">
        <v>21</v>
      </c>
      <c r="B369">
        <v>1</v>
      </c>
      <c r="C369">
        <v>65</v>
      </c>
      <c r="D369">
        <v>2672</v>
      </c>
      <c r="E369" s="59">
        <v>2.83192599999893</v>
      </c>
      <c r="F369">
        <v>64</v>
      </c>
    </row>
    <row r="370" spans="1:6">
      <c r="A370" t="s">
        <v>21</v>
      </c>
      <c r="B370">
        <v>1</v>
      </c>
      <c r="C370">
        <v>66</v>
      </c>
      <c r="D370">
        <v>2055</v>
      </c>
      <c r="E370" s="59">
        <v>2.8825239999150654</v>
      </c>
      <c r="F370">
        <v>65</v>
      </c>
    </row>
    <row r="371" spans="1:6">
      <c r="A371" t="s">
        <v>21</v>
      </c>
      <c r="B371">
        <v>1</v>
      </c>
      <c r="C371">
        <v>67</v>
      </c>
      <c r="D371">
        <v>173</v>
      </c>
      <c r="E371" s="59">
        <v>2.7476239999941754</v>
      </c>
      <c r="F371">
        <v>66</v>
      </c>
    </row>
    <row r="372" spans="1:6">
      <c r="A372" t="s">
        <v>21</v>
      </c>
      <c r="B372">
        <v>1</v>
      </c>
      <c r="C372">
        <v>68</v>
      </c>
      <c r="D372">
        <v>2936</v>
      </c>
      <c r="E372" s="59">
        <v>2.634639000007155</v>
      </c>
      <c r="F372">
        <v>67</v>
      </c>
    </row>
    <row r="373" spans="1:6">
      <c r="A373" t="s">
        <v>21</v>
      </c>
      <c r="B373">
        <v>1</v>
      </c>
      <c r="C373">
        <v>69</v>
      </c>
      <c r="D373">
        <v>1925</v>
      </c>
      <c r="E373" s="59">
        <v>2.7613169999085585</v>
      </c>
      <c r="F373">
        <v>68</v>
      </c>
    </row>
    <row r="374" spans="1:6">
      <c r="A374" t="s">
        <v>21</v>
      </c>
      <c r="B374">
        <v>1</v>
      </c>
      <c r="C374">
        <v>70</v>
      </c>
      <c r="D374">
        <v>2388</v>
      </c>
      <c r="E374" s="59">
        <v>2.805521000027511</v>
      </c>
      <c r="F374">
        <v>69</v>
      </c>
    </row>
    <row r="375" spans="1:6">
      <c r="A375" t="s">
        <v>21</v>
      </c>
      <c r="B375">
        <v>1</v>
      </c>
      <c r="C375">
        <v>71</v>
      </c>
      <c r="D375">
        <v>1526</v>
      </c>
      <c r="E375" s="59">
        <v>3.167309000104978</v>
      </c>
      <c r="F375">
        <v>70</v>
      </c>
    </row>
    <row r="376" spans="1:6">
      <c r="A376" t="s">
        <v>21</v>
      </c>
      <c r="B376">
        <v>1</v>
      </c>
      <c r="C376">
        <v>72</v>
      </c>
      <c r="D376">
        <v>886</v>
      </c>
      <c r="E376" s="59">
        <v>2.679154000020389</v>
      </c>
      <c r="F376">
        <v>71</v>
      </c>
    </row>
    <row r="377" spans="1:6">
      <c r="A377" t="s">
        <v>21</v>
      </c>
      <c r="B377">
        <v>1</v>
      </c>
      <c r="C377">
        <v>73</v>
      </c>
      <c r="D377">
        <v>2478</v>
      </c>
      <c r="E377" s="59">
        <v>2.794069999936255</v>
      </c>
      <c r="F377">
        <v>72</v>
      </c>
    </row>
    <row r="378" spans="1:6">
      <c r="A378" t="s">
        <v>21</v>
      </c>
      <c r="B378">
        <v>1</v>
      </c>
      <c r="C378">
        <v>74</v>
      </c>
      <c r="D378">
        <v>1825</v>
      </c>
      <c r="E378" s="59">
        <v>2.827656999897954</v>
      </c>
      <c r="F378">
        <v>73</v>
      </c>
    </row>
    <row r="379" spans="1:6">
      <c r="A379" t="s">
        <v>21</v>
      </c>
      <c r="B379">
        <v>1</v>
      </c>
      <c r="C379">
        <v>75</v>
      </c>
      <c r="D379">
        <v>234</v>
      </c>
      <c r="E379" s="59">
        <v>2.9067899999972724</v>
      </c>
      <c r="F379">
        <v>74</v>
      </c>
    </row>
    <row r="380" spans="1:6">
      <c r="A380" t="s">
        <v>21</v>
      </c>
      <c r="B380">
        <v>1</v>
      </c>
      <c r="C380">
        <v>76</v>
      </c>
      <c r="D380">
        <v>83</v>
      </c>
      <c r="E380" s="59">
        <v>3.343712999935633</v>
      </c>
      <c r="F380">
        <v>75</v>
      </c>
    </row>
    <row r="381" spans="1:6">
      <c r="A381" t="s">
        <v>21</v>
      </c>
      <c r="B381">
        <v>1</v>
      </c>
      <c r="C381">
        <v>77</v>
      </c>
      <c r="D381">
        <v>1634</v>
      </c>
      <c r="E381" s="59">
        <v>3.004702999987785</v>
      </c>
      <c r="F381">
        <v>76</v>
      </c>
    </row>
    <row r="382" spans="1:6">
      <c r="A382" t="s">
        <v>21</v>
      </c>
      <c r="B382">
        <v>1</v>
      </c>
      <c r="C382">
        <v>78</v>
      </c>
      <c r="D382">
        <v>1332</v>
      </c>
      <c r="E382" s="59">
        <v>2.801257999976769</v>
      </c>
      <c r="F382">
        <v>77</v>
      </c>
    </row>
    <row r="383" spans="1:6">
      <c r="A383" t="s">
        <v>21</v>
      </c>
      <c r="B383">
        <v>1</v>
      </c>
      <c r="C383">
        <v>79</v>
      </c>
      <c r="D383">
        <v>1784</v>
      </c>
      <c r="E383" s="59">
        <v>2.7868870000702373</v>
      </c>
      <c r="F383">
        <v>78</v>
      </c>
    </row>
    <row r="384" spans="1:6">
      <c r="A384" t="s">
        <v>21</v>
      </c>
      <c r="B384">
        <v>1</v>
      </c>
      <c r="C384">
        <v>80</v>
      </c>
      <c r="D384">
        <v>1301</v>
      </c>
      <c r="E384" s="59">
        <v>3.0421970000134024</v>
      </c>
      <c r="F384">
        <v>79</v>
      </c>
    </row>
    <row r="385" spans="1:6">
      <c r="A385" t="s">
        <v>21</v>
      </c>
      <c r="B385">
        <v>1</v>
      </c>
      <c r="C385">
        <v>81</v>
      </c>
      <c r="D385">
        <v>1924</v>
      </c>
      <c r="E385" s="59">
        <v>2.734718000056091</v>
      </c>
      <c r="F385">
        <v>80</v>
      </c>
    </row>
    <row r="386" spans="1:6">
      <c r="A386" t="s">
        <v>21</v>
      </c>
      <c r="B386">
        <v>1</v>
      </c>
      <c r="C386">
        <v>82</v>
      </c>
      <c r="D386">
        <v>120</v>
      </c>
      <c r="E386" s="59">
        <v>3.0282870000064577</v>
      </c>
      <c r="F386">
        <v>81</v>
      </c>
    </row>
    <row r="387" spans="1:6">
      <c r="A387" t="s">
        <v>21</v>
      </c>
      <c r="B387">
        <v>1</v>
      </c>
      <c r="C387">
        <v>83</v>
      </c>
      <c r="D387">
        <v>661</v>
      </c>
      <c r="E387" s="59">
        <v>2.760416999990412</v>
      </c>
      <c r="F387">
        <v>82</v>
      </c>
    </row>
    <row r="388" spans="1:6">
      <c r="A388" t="s">
        <v>21</v>
      </c>
      <c r="B388">
        <v>1</v>
      </c>
      <c r="C388">
        <v>84</v>
      </c>
      <c r="D388">
        <v>2325</v>
      </c>
      <c r="E388" s="59">
        <v>2.8882000000294283</v>
      </c>
      <c r="F388">
        <v>83</v>
      </c>
    </row>
    <row r="389" spans="1:6">
      <c r="A389" t="s">
        <v>21</v>
      </c>
      <c r="B389">
        <v>1</v>
      </c>
      <c r="C389">
        <v>85</v>
      </c>
      <c r="D389">
        <v>1999</v>
      </c>
      <c r="E389" s="59">
        <v>2.8740420000303857</v>
      </c>
      <c r="F389">
        <v>84</v>
      </c>
    </row>
    <row r="390" spans="1:6">
      <c r="A390" t="s">
        <v>21</v>
      </c>
      <c r="B390">
        <v>1</v>
      </c>
      <c r="C390">
        <v>86</v>
      </c>
      <c r="D390">
        <v>539</v>
      </c>
      <c r="E390" s="59">
        <v>2.7879140000095504</v>
      </c>
      <c r="F390">
        <v>85</v>
      </c>
    </row>
    <row r="391" spans="1:6">
      <c r="A391" t="s">
        <v>21</v>
      </c>
      <c r="B391">
        <v>1</v>
      </c>
      <c r="C391">
        <v>87</v>
      </c>
      <c r="D391">
        <v>367</v>
      </c>
      <c r="E391" s="59">
        <v>2.731471000060992</v>
      </c>
      <c r="F391">
        <v>86</v>
      </c>
    </row>
    <row r="392" spans="1:6">
      <c r="A392" t="s">
        <v>21</v>
      </c>
      <c r="B392">
        <v>1</v>
      </c>
      <c r="C392">
        <v>88</v>
      </c>
      <c r="D392">
        <v>609</v>
      </c>
      <c r="E392" s="59">
        <v>2.7609249999613894</v>
      </c>
      <c r="F392">
        <v>87</v>
      </c>
    </row>
    <row r="393" spans="1:6">
      <c r="A393" t="s">
        <v>21</v>
      </c>
      <c r="B393">
        <v>1</v>
      </c>
      <c r="C393">
        <v>89</v>
      </c>
      <c r="D393">
        <v>378</v>
      </c>
      <c r="E393" s="59">
        <v>2.75770600001124</v>
      </c>
      <c r="F393">
        <v>88</v>
      </c>
    </row>
    <row r="394" spans="1:6">
      <c r="A394" t="s">
        <v>21</v>
      </c>
      <c r="B394">
        <v>1</v>
      </c>
      <c r="C394">
        <v>90</v>
      </c>
      <c r="D394">
        <v>2037</v>
      </c>
      <c r="E394" s="59">
        <v>2.766382999993766</v>
      </c>
      <c r="F394">
        <v>89</v>
      </c>
    </row>
    <row r="395" spans="1:6">
      <c r="A395" t="s">
        <v>21</v>
      </c>
      <c r="B395">
        <v>1</v>
      </c>
      <c r="C395">
        <v>91</v>
      </c>
      <c r="D395">
        <v>1356</v>
      </c>
      <c r="E395" s="59">
        <v>2.8010220000851405</v>
      </c>
      <c r="F395">
        <v>90</v>
      </c>
    </row>
    <row r="396" spans="1:6">
      <c r="A396" t="s">
        <v>21</v>
      </c>
      <c r="B396">
        <v>1</v>
      </c>
      <c r="C396">
        <v>92</v>
      </c>
      <c r="D396">
        <v>1693</v>
      </c>
      <c r="E396" s="59">
        <v>2.875018000054297</v>
      </c>
      <c r="F396">
        <v>91</v>
      </c>
    </row>
    <row r="397" spans="1:6">
      <c r="A397" t="s">
        <v>21</v>
      </c>
      <c r="B397">
        <v>1</v>
      </c>
      <c r="C397">
        <v>93</v>
      </c>
      <c r="D397">
        <v>337</v>
      </c>
      <c r="E397" s="59">
        <v>2.9452659999833486</v>
      </c>
      <c r="F397">
        <v>92</v>
      </c>
    </row>
    <row r="398" spans="1:6">
      <c r="A398" t="s">
        <v>21</v>
      </c>
      <c r="B398">
        <v>1</v>
      </c>
      <c r="C398">
        <v>94</v>
      </c>
      <c r="D398">
        <v>1597</v>
      </c>
      <c r="E398" s="59">
        <v>2.684667999915291</v>
      </c>
      <c r="F398">
        <v>93</v>
      </c>
    </row>
    <row r="399" spans="1:6">
      <c r="A399" t="s">
        <v>21</v>
      </c>
      <c r="B399">
        <v>1</v>
      </c>
      <c r="C399">
        <v>95</v>
      </c>
      <c r="D399">
        <v>1265</v>
      </c>
      <c r="E399" s="59">
        <v>3.247015000056308</v>
      </c>
      <c r="F399">
        <v>94</v>
      </c>
    </row>
    <row r="400" spans="1:6">
      <c r="A400" t="s">
        <v>21</v>
      </c>
      <c r="B400">
        <v>1</v>
      </c>
      <c r="C400">
        <v>96</v>
      </c>
      <c r="D400">
        <v>192</v>
      </c>
      <c r="E400" s="59">
        <v>2.832087000001593</v>
      </c>
      <c r="F400">
        <v>95</v>
      </c>
    </row>
    <row r="401" spans="1:6">
      <c r="A401" t="s">
        <v>21</v>
      </c>
      <c r="B401">
        <v>1</v>
      </c>
      <c r="C401">
        <v>97</v>
      </c>
      <c r="D401">
        <v>2326</v>
      </c>
      <c r="E401" s="59">
        <v>2.706267000007756</v>
      </c>
      <c r="F401">
        <v>96</v>
      </c>
    </row>
    <row r="402" spans="1:6">
      <c r="A402" t="s">
        <v>21</v>
      </c>
      <c r="B402">
        <v>1</v>
      </c>
      <c r="C402">
        <v>98</v>
      </c>
      <c r="D402">
        <v>1055</v>
      </c>
      <c r="E402" s="59">
        <v>2.879678999988755</v>
      </c>
      <c r="F402">
        <v>97</v>
      </c>
    </row>
    <row r="403" spans="1:6">
      <c r="A403" t="s">
        <v>21</v>
      </c>
      <c r="B403">
        <v>1</v>
      </c>
      <c r="C403">
        <v>99</v>
      </c>
      <c r="D403">
        <v>2296</v>
      </c>
      <c r="E403" s="59">
        <v>2.736344000027202</v>
      </c>
      <c r="F403">
        <v>98</v>
      </c>
    </row>
    <row r="404" spans="1:6">
      <c r="A404" t="s">
        <v>21</v>
      </c>
      <c r="B404">
        <v>1</v>
      </c>
      <c r="C404">
        <v>100</v>
      </c>
      <c r="D404">
        <v>1710</v>
      </c>
      <c r="E404" s="59">
        <v>2.856004000022949</v>
      </c>
      <c r="F404">
        <v>99</v>
      </c>
    </row>
    <row r="405" spans="1:6">
      <c r="A405" t="s">
        <v>9</v>
      </c>
      <c r="B405">
        <v>2</v>
      </c>
      <c r="C405">
        <v>1</v>
      </c>
      <c r="D405">
        <v>1750</v>
      </c>
      <c r="E405" s="59">
        <v>5.030443999999079</v>
      </c>
      <c r="F405">
        <v>0</v>
      </c>
    </row>
    <row r="406" spans="1:6">
      <c r="A406" t="s">
        <v>9</v>
      </c>
      <c r="B406">
        <v>2</v>
      </c>
      <c r="C406">
        <v>2</v>
      </c>
      <c r="D406">
        <v>98</v>
      </c>
      <c r="E406" s="59">
        <v>5.012764000071002</v>
      </c>
      <c r="F406">
        <v>1</v>
      </c>
    </row>
    <row r="407" spans="1:6">
      <c r="A407" t="s">
        <v>9</v>
      </c>
      <c r="B407">
        <v>2</v>
      </c>
      <c r="C407">
        <v>3</v>
      </c>
      <c r="D407">
        <v>141</v>
      </c>
      <c r="E407" s="59">
        <v>4.99349499989421</v>
      </c>
      <c r="F407">
        <v>2</v>
      </c>
    </row>
    <row r="408" spans="1:6">
      <c r="A408" t="s">
        <v>9</v>
      </c>
      <c r="B408">
        <v>2</v>
      </c>
      <c r="C408">
        <v>4</v>
      </c>
      <c r="D408">
        <v>2106</v>
      </c>
      <c r="E408" s="59">
        <v>6.743894999999611</v>
      </c>
      <c r="F408">
        <v>3</v>
      </c>
    </row>
    <row r="409" spans="1:6">
      <c r="A409" t="s">
        <v>9</v>
      </c>
      <c r="B409">
        <v>2</v>
      </c>
      <c r="C409">
        <v>5</v>
      </c>
      <c r="D409">
        <v>1242</v>
      </c>
      <c r="E409" s="59">
        <v>7.8329310000526675</v>
      </c>
      <c r="F409">
        <v>4</v>
      </c>
    </row>
    <row r="410" spans="1:6">
      <c r="A410" t="s">
        <v>9</v>
      </c>
      <c r="B410">
        <v>2</v>
      </c>
      <c r="C410">
        <v>6</v>
      </c>
      <c r="D410">
        <v>993</v>
      </c>
      <c r="E410" s="59">
        <v>7.545520999997279</v>
      </c>
      <c r="F410">
        <v>5</v>
      </c>
    </row>
    <row r="411" spans="1:6">
      <c r="A411" t="s">
        <v>9</v>
      </c>
      <c r="B411">
        <v>2</v>
      </c>
      <c r="C411">
        <v>7</v>
      </c>
      <c r="D411">
        <v>995</v>
      </c>
      <c r="E411" s="59">
        <v>5.586880000009842</v>
      </c>
      <c r="F411">
        <v>6</v>
      </c>
    </row>
    <row r="412" spans="1:6">
      <c r="A412" t="s">
        <v>9</v>
      </c>
      <c r="B412">
        <v>2</v>
      </c>
      <c r="C412">
        <v>8</v>
      </c>
      <c r="D412">
        <v>663</v>
      </c>
      <c r="E412" s="59">
        <v>4.9437320000151885</v>
      </c>
      <c r="F412">
        <v>7</v>
      </c>
    </row>
    <row r="413" spans="1:6">
      <c r="A413" t="s">
        <v>9</v>
      </c>
      <c r="B413">
        <v>2</v>
      </c>
      <c r="C413">
        <v>9</v>
      </c>
      <c r="D413">
        <v>37</v>
      </c>
      <c r="E413" s="59">
        <v>4.856914000015422</v>
      </c>
      <c r="F413">
        <v>8</v>
      </c>
    </row>
    <row r="414" spans="1:6">
      <c r="A414" t="s">
        <v>9</v>
      </c>
      <c r="B414">
        <v>2</v>
      </c>
      <c r="C414">
        <v>10</v>
      </c>
      <c r="D414">
        <v>4</v>
      </c>
      <c r="E414" s="59">
        <v>4.700397000078738</v>
      </c>
      <c r="F414">
        <v>9</v>
      </c>
    </row>
    <row r="415" spans="1:6">
      <c r="A415" t="s">
        <v>9</v>
      </c>
      <c r="B415">
        <v>2</v>
      </c>
      <c r="C415">
        <v>11</v>
      </c>
      <c r="D415">
        <v>2311</v>
      </c>
      <c r="E415" s="59">
        <v>4.752458999973896</v>
      </c>
      <c r="F415">
        <v>10</v>
      </c>
    </row>
    <row r="416" spans="1:6">
      <c r="A416" t="s">
        <v>9</v>
      </c>
      <c r="B416">
        <v>2</v>
      </c>
      <c r="C416">
        <v>12</v>
      </c>
      <c r="D416">
        <v>289</v>
      </c>
      <c r="E416" s="59">
        <v>4.914944000006472</v>
      </c>
      <c r="F416">
        <v>11</v>
      </c>
    </row>
    <row r="417" spans="1:6">
      <c r="A417" t="s">
        <v>9</v>
      </c>
      <c r="B417">
        <v>2</v>
      </c>
      <c r="C417">
        <v>13</v>
      </c>
      <c r="D417">
        <v>1130</v>
      </c>
      <c r="E417" s="59">
        <v>4.838406999965628</v>
      </c>
      <c r="F417">
        <v>12</v>
      </c>
    </row>
    <row r="418" spans="1:6">
      <c r="A418" t="s">
        <v>9</v>
      </c>
      <c r="B418">
        <v>2</v>
      </c>
      <c r="C418">
        <v>14</v>
      </c>
      <c r="D418">
        <v>2589</v>
      </c>
      <c r="E418" s="59">
        <v>4.9068719999922905</v>
      </c>
      <c r="F418">
        <v>13</v>
      </c>
    </row>
    <row r="419" spans="1:6">
      <c r="A419" t="s">
        <v>9</v>
      </c>
      <c r="B419">
        <v>2</v>
      </c>
      <c r="C419">
        <v>15</v>
      </c>
      <c r="D419">
        <v>1868</v>
      </c>
      <c r="E419" s="59">
        <v>4.7303210000109175</v>
      </c>
      <c r="F419">
        <v>14</v>
      </c>
    </row>
    <row r="420" spans="1:6">
      <c r="A420" t="s">
        <v>9</v>
      </c>
      <c r="B420">
        <v>2</v>
      </c>
      <c r="C420">
        <v>16</v>
      </c>
      <c r="D420">
        <v>1296</v>
      </c>
      <c r="E420" s="59">
        <v>4.805480000072748</v>
      </c>
      <c r="F420">
        <v>15</v>
      </c>
    </row>
    <row r="421" spans="1:6">
      <c r="A421" t="s">
        <v>9</v>
      </c>
      <c r="B421">
        <v>2</v>
      </c>
      <c r="C421">
        <v>17</v>
      </c>
      <c r="D421">
        <v>1144</v>
      </c>
      <c r="E421" s="59">
        <v>4.759998000054111</v>
      </c>
      <c r="F421">
        <v>16</v>
      </c>
    </row>
    <row r="422" spans="1:6">
      <c r="A422" t="s">
        <v>9</v>
      </c>
      <c r="B422">
        <v>2</v>
      </c>
      <c r="C422">
        <v>18</v>
      </c>
      <c r="D422">
        <v>1881</v>
      </c>
      <c r="E422" s="59">
        <v>4.970961000026364</v>
      </c>
      <c r="F422">
        <v>17</v>
      </c>
    </row>
    <row r="423" spans="1:6">
      <c r="A423" t="s">
        <v>9</v>
      </c>
      <c r="B423">
        <v>2</v>
      </c>
      <c r="C423">
        <v>19</v>
      </c>
      <c r="D423">
        <v>686</v>
      </c>
      <c r="E423" s="59">
        <v>5.187062999993941</v>
      </c>
      <c r="F423">
        <v>18</v>
      </c>
    </row>
    <row r="424" spans="1:6">
      <c r="A424" t="s">
        <v>9</v>
      </c>
      <c r="B424">
        <v>2</v>
      </c>
      <c r="C424">
        <v>20</v>
      </c>
      <c r="D424">
        <v>1698</v>
      </c>
      <c r="E424" s="59">
        <v>5.438163999997414</v>
      </c>
      <c r="F424">
        <v>19</v>
      </c>
    </row>
    <row r="425" spans="1:6">
      <c r="A425" t="s">
        <v>9</v>
      </c>
      <c r="B425">
        <v>2</v>
      </c>
      <c r="C425">
        <v>21</v>
      </c>
      <c r="D425">
        <v>2358</v>
      </c>
      <c r="E425" s="59">
        <v>4.993363999915346</v>
      </c>
      <c r="F425">
        <v>20</v>
      </c>
    </row>
    <row r="426" spans="1:6">
      <c r="A426" t="s">
        <v>9</v>
      </c>
      <c r="B426">
        <v>2</v>
      </c>
      <c r="C426">
        <v>22</v>
      </c>
      <c r="D426">
        <v>1246</v>
      </c>
      <c r="E426" s="59">
        <v>5.054075000089142</v>
      </c>
      <c r="F426">
        <v>21</v>
      </c>
    </row>
    <row r="427" spans="1:6">
      <c r="A427" t="s">
        <v>9</v>
      </c>
      <c r="B427">
        <v>2</v>
      </c>
      <c r="C427">
        <v>23</v>
      </c>
      <c r="D427">
        <v>1046</v>
      </c>
      <c r="E427" s="59">
        <v>4.957841999953416</v>
      </c>
      <c r="F427">
        <v>22</v>
      </c>
    </row>
    <row r="428" spans="1:6">
      <c r="A428" t="s">
        <v>9</v>
      </c>
      <c r="B428">
        <v>2</v>
      </c>
      <c r="C428">
        <v>24</v>
      </c>
      <c r="D428">
        <v>399</v>
      </c>
      <c r="E428" s="59">
        <v>4.916896000054294</v>
      </c>
      <c r="F428">
        <v>23</v>
      </c>
    </row>
    <row r="429" spans="1:6">
      <c r="A429" t="s">
        <v>9</v>
      </c>
      <c r="B429">
        <v>2</v>
      </c>
      <c r="C429">
        <v>25</v>
      </c>
      <c r="D429">
        <v>1263</v>
      </c>
      <c r="E429" s="59">
        <v>4.849612000043635</v>
      </c>
      <c r="F429">
        <v>24</v>
      </c>
    </row>
    <row r="430" spans="1:6">
      <c r="A430" t="s">
        <v>9</v>
      </c>
      <c r="B430">
        <v>2</v>
      </c>
      <c r="C430">
        <v>26</v>
      </c>
      <c r="D430">
        <v>2211</v>
      </c>
      <c r="E430" s="59">
        <v>4.773508000084803</v>
      </c>
      <c r="F430">
        <v>25</v>
      </c>
    </row>
    <row r="431" spans="1:6">
      <c r="A431" t="s">
        <v>9</v>
      </c>
      <c r="B431">
        <v>2</v>
      </c>
      <c r="C431">
        <v>27</v>
      </c>
      <c r="D431">
        <v>1651</v>
      </c>
      <c r="E431" s="59">
        <v>4.967832000033923</v>
      </c>
      <c r="F431">
        <v>26</v>
      </c>
    </row>
    <row r="432" spans="1:6">
      <c r="A432" t="s">
        <v>9</v>
      </c>
      <c r="B432">
        <v>2</v>
      </c>
      <c r="C432">
        <v>28</v>
      </c>
      <c r="D432">
        <v>2393</v>
      </c>
      <c r="E432" s="59">
        <v>4.872485000078086</v>
      </c>
      <c r="F432">
        <v>27</v>
      </c>
    </row>
    <row r="433" spans="1:6">
      <c r="A433" t="s">
        <v>9</v>
      </c>
      <c r="B433">
        <v>2</v>
      </c>
      <c r="C433">
        <v>29</v>
      </c>
      <c r="D433">
        <v>692</v>
      </c>
      <c r="E433" s="59">
        <v>4.76528900003359</v>
      </c>
      <c r="F433">
        <v>28</v>
      </c>
    </row>
    <row r="434" spans="1:6">
      <c r="A434" t="s">
        <v>9</v>
      </c>
      <c r="B434">
        <v>2</v>
      </c>
      <c r="C434">
        <v>30</v>
      </c>
      <c r="D434">
        <v>155</v>
      </c>
      <c r="E434" s="59">
        <v>5.355258999998114</v>
      </c>
      <c r="F434">
        <v>29</v>
      </c>
    </row>
    <row r="435" spans="1:6">
      <c r="A435" t="s">
        <v>9</v>
      </c>
      <c r="B435">
        <v>2</v>
      </c>
      <c r="C435">
        <v>31</v>
      </c>
      <c r="D435">
        <v>1529</v>
      </c>
      <c r="E435" s="59">
        <v>5.239073999973698</v>
      </c>
      <c r="F435">
        <v>30</v>
      </c>
    </row>
    <row r="436" spans="1:6">
      <c r="A436" t="s">
        <v>9</v>
      </c>
      <c r="B436">
        <v>2</v>
      </c>
      <c r="C436">
        <v>32</v>
      </c>
      <c r="D436">
        <v>1103</v>
      </c>
      <c r="E436" s="59">
        <v>5.089902000008806</v>
      </c>
      <c r="F436">
        <v>31</v>
      </c>
    </row>
    <row r="437" spans="1:6">
      <c r="A437" t="s">
        <v>9</v>
      </c>
      <c r="B437">
        <v>2</v>
      </c>
      <c r="C437">
        <v>33</v>
      </c>
      <c r="D437">
        <v>2506</v>
      </c>
      <c r="E437" s="59">
        <v>4.6691969999983485</v>
      </c>
      <c r="F437">
        <v>32</v>
      </c>
    </row>
    <row r="438" spans="1:6">
      <c r="A438" t="s">
        <v>9</v>
      </c>
      <c r="B438">
        <v>2</v>
      </c>
      <c r="C438">
        <v>34</v>
      </c>
      <c r="D438">
        <v>1092</v>
      </c>
      <c r="E438" s="59">
        <v>4.673991999993632</v>
      </c>
      <c r="F438">
        <v>33</v>
      </c>
    </row>
    <row r="439" spans="1:6">
      <c r="A439" t="s">
        <v>9</v>
      </c>
      <c r="B439">
        <v>2</v>
      </c>
      <c r="C439">
        <v>35</v>
      </c>
      <c r="D439">
        <v>916</v>
      </c>
      <c r="E439" s="59">
        <v>4.917685000009442</v>
      </c>
      <c r="F439">
        <v>34</v>
      </c>
    </row>
    <row r="440" spans="1:6">
      <c r="A440" t="s">
        <v>9</v>
      </c>
      <c r="B440">
        <v>2</v>
      </c>
      <c r="C440">
        <v>36</v>
      </c>
      <c r="D440">
        <v>2953</v>
      </c>
      <c r="E440" s="59">
        <v>5.186660999925152</v>
      </c>
      <c r="F440">
        <v>35</v>
      </c>
    </row>
    <row r="441" spans="1:6">
      <c r="A441" t="s">
        <v>9</v>
      </c>
      <c r="B441">
        <v>2</v>
      </c>
      <c r="C441">
        <v>37</v>
      </c>
      <c r="D441">
        <v>2132</v>
      </c>
      <c r="E441" s="59">
        <v>5.201294000016787</v>
      </c>
      <c r="F441">
        <v>36</v>
      </c>
    </row>
    <row r="442" spans="1:6">
      <c r="A442" t="s">
        <v>9</v>
      </c>
      <c r="B442">
        <v>2</v>
      </c>
      <c r="C442">
        <v>38</v>
      </c>
      <c r="D442">
        <v>1122</v>
      </c>
      <c r="E442" s="59">
        <v>4.810114000065369</v>
      </c>
      <c r="F442">
        <v>37</v>
      </c>
    </row>
    <row r="443" spans="1:6">
      <c r="A443" t="s">
        <v>9</v>
      </c>
      <c r="B443">
        <v>2</v>
      </c>
      <c r="C443">
        <v>39</v>
      </c>
      <c r="D443">
        <v>1639</v>
      </c>
      <c r="E443" s="59">
        <v>4.881683000007797</v>
      </c>
      <c r="F443">
        <v>38</v>
      </c>
    </row>
    <row r="444" spans="1:6">
      <c r="A444" t="s">
        <v>9</v>
      </c>
      <c r="B444">
        <v>2</v>
      </c>
      <c r="C444">
        <v>40</v>
      </c>
      <c r="D444">
        <v>1605</v>
      </c>
      <c r="E444" s="59">
        <v>5.049096000107056</v>
      </c>
      <c r="F444">
        <v>39</v>
      </c>
    </row>
    <row r="445" spans="1:6">
      <c r="A445" t="s">
        <v>9</v>
      </c>
      <c r="B445">
        <v>2</v>
      </c>
      <c r="C445">
        <v>41</v>
      </c>
      <c r="D445">
        <v>1760</v>
      </c>
      <c r="E445" s="59">
        <v>5.019213999958083</v>
      </c>
      <c r="F445">
        <v>40</v>
      </c>
    </row>
    <row r="446" spans="1:6">
      <c r="A446" t="s">
        <v>9</v>
      </c>
      <c r="B446">
        <v>2</v>
      </c>
      <c r="C446">
        <v>42</v>
      </c>
      <c r="D446">
        <v>1202</v>
      </c>
      <c r="E446" s="59">
        <v>8.423084000014569</v>
      </c>
      <c r="F446">
        <v>41</v>
      </c>
    </row>
    <row r="447" spans="1:6">
      <c r="A447" t="s">
        <v>9</v>
      </c>
      <c r="B447">
        <v>2</v>
      </c>
      <c r="C447">
        <v>43</v>
      </c>
      <c r="D447">
        <v>1115</v>
      </c>
      <c r="E447" s="59">
        <v>9.00364200003878</v>
      </c>
      <c r="F447">
        <v>42</v>
      </c>
    </row>
    <row r="448" spans="1:6">
      <c r="A448" t="s">
        <v>9</v>
      </c>
      <c r="B448">
        <v>2</v>
      </c>
      <c r="C448">
        <v>44</v>
      </c>
      <c r="D448">
        <v>2660</v>
      </c>
      <c r="E448" s="59">
        <v>9.176203000038186</v>
      </c>
      <c r="F448">
        <v>43</v>
      </c>
    </row>
    <row r="449" spans="1:6">
      <c r="A449" t="s">
        <v>9</v>
      </c>
      <c r="B449">
        <v>2</v>
      </c>
      <c r="C449">
        <v>45</v>
      </c>
      <c r="D449">
        <v>1170</v>
      </c>
      <c r="E449" s="59">
        <v>7.091406999961691</v>
      </c>
      <c r="F449">
        <v>44</v>
      </c>
    </row>
    <row r="450" spans="1:6">
      <c r="A450" t="s">
        <v>9</v>
      </c>
      <c r="B450">
        <v>2</v>
      </c>
      <c r="C450">
        <v>46</v>
      </c>
      <c r="D450">
        <v>2387</v>
      </c>
      <c r="E450" s="59">
        <v>5.286218000037479</v>
      </c>
      <c r="F450">
        <v>45</v>
      </c>
    </row>
    <row r="451" spans="1:6">
      <c r="A451" t="s">
        <v>9</v>
      </c>
      <c r="B451">
        <v>2</v>
      </c>
      <c r="C451">
        <v>47</v>
      </c>
      <c r="D451">
        <v>288</v>
      </c>
      <c r="E451" s="59">
        <v>5.102743000065857</v>
      </c>
      <c r="F451">
        <v>46</v>
      </c>
    </row>
    <row r="452" spans="1:6">
      <c r="A452" t="s">
        <v>9</v>
      </c>
      <c r="B452">
        <v>2</v>
      </c>
      <c r="C452">
        <v>48</v>
      </c>
      <c r="D452">
        <v>1464</v>
      </c>
      <c r="E452" s="59">
        <v>4.856710000012754</v>
      </c>
      <c r="F452">
        <v>47</v>
      </c>
    </row>
    <row r="453" spans="1:6">
      <c r="A453" t="s">
        <v>9</v>
      </c>
      <c r="B453">
        <v>2</v>
      </c>
      <c r="C453">
        <v>49</v>
      </c>
      <c r="D453">
        <v>2212</v>
      </c>
      <c r="E453" s="59">
        <v>4.82103100000586</v>
      </c>
      <c r="F453">
        <v>48</v>
      </c>
    </row>
    <row r="454" spans="1:6">
      <c r="A454" t="s">
        <v>9</v>
      </c>
      <c r="B454">
        <v>2</v>
      </c>
      <c r="C454">
        <v>50</v>
      </c>
      <c r="D454">
        <v>223</v>
      </c>
      <c r="E454" s="59">
        <v>5.2112560000523445</v>
      </c>
      <c r="F454">
        <v>49</v>
      </c>
    </row>
    <row r="455" spans="1:6">
      <c r="A455" t="s">
        <v>9</v>
      </c>
      <c r="B455">
        <v>2</v>
      </c>
      <c r="C455">
        <v>51</v>
      </c>
      <c r="D455">
        <v>2578</v>
      </c>
      <c r="E455" s="59">
        <v>5.33018400005858</v>
      </c>
      <c r="F455">
        <v>50</v>
      </c>
    </row>
    <row r="456" spans="1:6">
      <c r="A456" t="s">
        <v>9</v>
      </c>
      <c r="B456">
        <v>2</v>
      </c>
      <c r="C456">
        <v>52</v>
      </c>
      <c r="D456">
        <v>2884</v>
      </c>
      <c r="E456" s="59">
        <v>4.650846999993519</v>
      </c>
      <c r="F456">
        <v>51</v>
      </c>
    </row>
    <row r="457" spans="1:6">
      <c r="A457" t="s">
        <v>9</v>
      </c>
      <c r="B457">
        <v>2</v>
      </c>
      <c r="C457">
        <v>53</v>
      </c>
      <c r="D457">
        <v>1610</v>
      </c>
      <c r="E457" s="59">
        <v>4.933630999971683</v>
      </c>
      <c r="F457">
        <v>52</v>
      </c>
    </row>
    <row r="458" spans="1:6">
      <c r="A458" t="s">
        <v>9</v>
      </c>
      <c r="B458">
        <v>2</v>
      </c>
      <c r="C458">
        <v>54</v>
      </c>
      <c r="D458">
        <v>1175</v>
      </c>
      <c r="E458" s="59">
        <v>4.922354999962408</v>
      </c>
      <c r="F458">
        <v>53</v>
      </c>
    </row>
    <row r="459" spans="1:6">
      <c r="A459" t="s">
        <v>9</v>
      </c>
      <c r="B459">
        <v>2</v>
      </c>
      <c r="C459">
        <v>55</v>
      </c>
      <c r="D459">
        <v>1467</v>
      </c>
      <c r="E459" s="59">
        <v>4.680599000039365</v>
      </c>
      <c r="F459">
        <v>54</v>
      </c>
    </row>
    <row r="460" spans="1:6">
      <c r="A460" t="s">
        <v>9</v>
      </c>
      <c r="B460">
        <v>2</v>
      </c>
      <c r="C460">
        <v>56</v>
      </c>
      <c r="D460">
        <v>1757</v>
      </c>
      <c r="E460" s="59">
        <v>4.868203000000904</v>
      </c>
      <c r="F460">
        <v>55</v>
      </c>
    </row>
    <row r="461" spans="1:6">
      <c r="A461" t="s">
        <v>9</v>
      </c>
      <c r="B461">
        <v>2</v>
      </c>
      <c r="C461">
        <v>57</v>
      </c>
      <c r="D461">
        <v>2114</v>
      </c>
      <c r="E461" s="59">
        <v>5.068685999958689</v>
      </c>
      <c r="F461">
        <v>56</v>
      </c>
    </row>
    <row r="462" spans="1:6">
      <c r="A462" t="s">
        <v>9</v>
      </c>
      <c r="B462">
        <v>2</v>
      </c>
      <c r="C462">
        <v>58</v>
      </c>
      <c r="D462">
        <v>773</v>
      </c>
      <c r="E462" s="59">
        <v>4.922013000054903</v>
      </c>
      <c r="F462">
        <v>57</v>
      </c>
    </row>
    <row r="463" spans="1:6">
      <c r="A463" t="s">
        <v>9</v>
      </c>
      <c r="B463">
        <v>2</v>
      </c>
      <c r="C463">
        <v>59</v>
      </c>
      <c r="D463">
        <v>470</v>
      </c>
      <c r="E463" s="59">
        <v>5.05882900006327</v>
      </c>
      <c r="F463">
        <v>58</v>
      </c>
    </row>
    <row r="464" spans="1:6">
      <c r="A464" t="s">
        <v>9</v>
      </c>
      <c r="B464">
        <v>2</v>
      </c>
      <c r="C464">
        <v>60</v>
      </c>
      <c r="D464">
        <v>872</v>
      </c>
      <c r="E464" s="59">
        <v>4.939626000009412</v>
      </c>
      <c r="F464">
        <v>59</v>
      </c>
    </row>
    <row r="465" spans="1:6">
      <c r="A465" t="s">
        <v>9</v>
      </c>
      <c r="B465">
        <v>2</v>
      </c>
      <c r="C465">
        <v>61</v>
      </c>
      <c r="D465">
        <v>2268</v>
      </c>
      <c r="E465" s="59">
        <v>4.894843999977638</v>
      </c>
      <c r="F465">
        <v>60</v>
      </c>
    </row>
    <row r="466" spans="1:6">
      <c r="A466" t="s">
        <v>9</v>
      </c>
      <c r="B466">
        <v>2</v>
      </c>
      <c r="C466">
        <v>62</v>
      </c>
      <c r="D466">
        <v>2716</v>
      </c>
      <c r="E466" s="59">
        <v>5.35592699998233</v>
      </c>
      <c r="F466">
        <v>61</v>
      </c>
    </row>
    <row r="467" spans="1:6">
      <c r="A467" t="s">
        <v>9</v>
      </c>
      <c r="B467">
        <v>2</v>
      </c>
      <c r="C467">
        <v>63</v>
      </c>
      <c r="D467">
        <v>2533</v>
      </c>
      <c r="E467" s="59">
        <v>5.541395000022931</v>
      </c>
      <c r="F467">
        <v>62</v>
      </c>
    </row>
    <row r="468" spans="1:6">
      <c r="A468" t="s">
        <v>9</v>
      </c>
      <c r="B468">
        <v>2</v>
      </c>
      <c r="C468">
        <v>64</v>
      </c>
      <c r="D468">
        <v>464</v>
      </c>
      <c r="E468" s="59">
        <v>5.482463000021198</v>
      </c>
      <c r="F468">
        <v>63</v>
      </c>
    </row>
    <row r="469" spans="1:6">
      <c r="A469" t="s">
        <v>9</v>
      </c>
      <c r="B469">
        <v>2</v>
      </c>
      <c r="C469">
        <v>65</v>
      </c>
      <c r="D469">
        <v>2672</v>
      </c>
      <c r="E469" s="59">
        <v>5.055483999967692</v>
      </c>
      <c r="F469">
        <v>64</v>
      </c>
    </row>
    <row r="470" spans="1:6">
      <c r="A470" t="s">
        <v>9</v>
      </c>
      <c r="B470">
        <v>2</v>
      </c>
      <c r="C470">
        <v>66</v>
      </c>
      <c r="D470">
        <v>2055</v>
      </c>
      <c r="E470" s="59">
        <v>4.874190000009548</v>
      </c>
      <c r="F470">
        <v>65</v>
      </c>
    </row>
    <row r="471" spans="1:6">
      <c r="A471" t="s">
        <v>9</v>
      </c>
      <c r="B471">
        <v>2</v>
      </c>
      <c r="C471">
        <v>67</v>
      </c>
      <c r="D471">
        <v>173</v>
      </c>
      <c r="E471" s="59">
        <v>4.896867999946153</v>
      </c>
      <c r="F471">
        <v>66</v>
      </c>
    </row>
    <row r="472" spans="1:6">
      <c r="A472" t="s">
        <v>9</v>
      </c>
      <c r="B472">
        <v>2</v>
      </c>
      <c r="C472">
        <v>68</v>
      </c>
      <c r="D472">
        <v>2936</v>
      </c>
      <c r="E472" s="59">
        <v>5.267284999945332</v>
      </c>
      <c r="F472">
        <v>67</v>
      </c>
    </row>
    <row r="473" spans="1:6">
      <c r="A473" t="s">
        <v>9</v>
      </c>
      <c r="B473">
        <v>2</v>
      </c>
      <c r="C473">
        <v>69</v>
      </c>
      <c r="D473">
        <v>1925</v>
      </c>
      <c r="E473" s="59">
        <v>5.151177000016105</v>
      </c>
      <c r="F473">
        <v>68</v>
      </c>
    </row>
    <row r="474" spans="1:6">
      <c r="A474" t="s">
        <v>9</v>
      </c>
      <c r="B474">
        <v>2</v>
      </c>
      <c r="C474">
        <v>70</v>
      </c>
      <c r="D474">
        <v>2388</v>
      </c>
      <c r="E474" s="59">
        <v>4.853775000015048</v>
      </c>
      <c r="F474">
        <v>69</v>
      </c>
    </row>
    <row r="475" spans="1:6">
      <c r="A475" t="s">
        <v>9</v>
      </c>
      <c r="B475">
        <v>2</v>
      </c>
      <c r="C475">
        <v>71</v>
      </c>
      <c r="D475">
        <v>1526</v>
      </c>
      <c r="E475" s="59">
        <v>4.780571999958738</v>
      </c>
      <c r="F475">
        <v>70</v>
      </c>
    </row>
    <row r="476" spans="1:6">
      <c r="A476" t="s">
        <v>9</v>
      </c>
      <c r="B476">
        <v>2</v>
      </c>
      <c r="C476">
        <v>72</v>
      </c>
      <c r="D476">
        <v>886</v>
      </c>
      <c r="E476" s="59">
        <v>4.683682999939265</v>
      </c>
      <c r="F476">
        <v>71</v>
      </c>
    </row>
    <row r="477" spans="1:6">
      <c r="A477" t="s">
        <v>9</v>
      </c>
      <c r="B477">
        <v>2</v>
      </c>
      <c r="C477">
        <v>73</v>
      </c>
      <c r="D477">
        <v>2478</v>
      </c>
      <c r="E477" s="59">
        <v>5.136547999995855</v>
      </c>
      <c r="F477">
        <v>72</v>
      </c>
    </row>
    <row r="478" spans="1:6">
      <c r="A478" t="s">
        <v>9</v>
      </c>
      <c r="B478">
        <v>2</v>
      </c>
      <c r="C478">
        <v>74</v>
      </c>
      <c r="D478">
        <v>1825</v>
      </c>
      <c r="E478" s="59">
        <v>4.6863100000109625</v>
      </c>
      <c r="F478">
        <v>73</v>
      </c>
    </row>
    <row r="479" spans="1:6">
      <c r="A479" t="s">
        <v>9</v>
      </c>
      <c r="B479">
        <v>2</v>
      </c>
      <c r="C479">
        <v>75</v>
      </c>
      <c r="D479">
        <v>234</v>
      </c>
      <c r="E479" s="59">
        <v>5.292747999988023</v>
      </c>
      <c r="F479">
        <v>74</v>
      </c>
    </row>
    <row r="480" spans="1:6">
      <c r="A480" t="s">
        <v>9</v>
      </c>
      <c r="B480">
        <v>2</v>
      </c>
      <c r="C480">
        <v>76</v>
      </c>
      <c r="D480">
        <v>83</v>
      </c>
      <c r="E480" s="59">
        <v>4.777409999974225</v>
      </c>
      <c r="F480">
        <v>75</v>
      </c>
    </row>
    <row r="481" spans="1:6">
      <c r="A481" t="s">
        <v>9</v>
      </c>
      <c r="B481">
        <v>2</v>
      </c>
      <c r="C481">
        <v>77</v>
      </c>
      <c r="D481">
        <v>1634</v>
      </c>
      <c r="E481" s="59">
        <v>4.879929999901833</v>
      </c>
      <c r="F481">
        <v>76</v>
      </c>
    </row>
    <row r="482" spans="1:6">
      <c r="A482" t="s">
        <v>9</v>
      </c>
      <c r="B482">
        <v>2</v>
      </c>
      <c r="C482">
        <v>78</v>
      </c>
      <c r="D482">
        <v>1332</v>
      </c>
      <c r="E482" s="59">
        <v>4.91961000000174</v>
      </c>
      <c r="F482">
        <v>77</v>
      </c>
    </row>
    <row r="483" spans="1:6">
      <c r="A483" t="s">
        <v>9</v>
      </c>
      <c r="B483">
        <v>2</v>
      </c>
      <c r="C483">
        <v>79</v>
      </c>
      <c r="D483">
        <v>1784</v>
      </c>
      <c r="E483" s="59">
        <v>5.512183000064397</v>
      </c>
      <c r="F483">
        <v>78</v>
      </c>
    </row>
    <row r="484" spans="1:6">
      <c r="A484" t="s">
        <v>9</v>
      </c>
      <c r="B484">
        <v>2</v>
      </c>
      <c r="C484">
        <v>80</v>
      </c>
      <c r="D484">
        <v>1301</v>
      </c>
      <c r="E484" s="59">
        <v>5.1321430000825785</v>
      </c>
      <c r="F484">
        <v>79</v>
      </c>
    </row>
    <row r="485" spans="1:6">
      <c r="A485" t="s">
        <v>9</v>
      </c>
      <c r="B485">
        <v>2</v>
      </c>
      <c r="C485">
        <v>81</v>
      </c>
      <c r="D485">
        <v>1924</v>
      </c>
      <c r="E485" s="59">
        <v>4.81195600002593</v>
      </c>
      <c r="F485">
        <v>80</v>
      </c>
    </row>
    <row r="486" spans="1:6">
      <c r="A486" t="s">
        <v>9</v>
      </c>
      <c r="B486">
        <v>2</v>
      </c>
      <c r="C486">
        <v>82</v>
      </c>
      <c r="D486">
        <v>120</v>
      </c>
      <c r="E486" s="59">
        <v>4.856882000012774</v>
      </c>
      <c r="F486">
        <v>81</v>
      </c>
    </row>
    <row r="487" spans="1:6">
      <c r="A487" t="s">
        <v>9</v>
      </c>
      <c r="B487">
        <v>2</v>
      </c>
      <c r="C487">
        <v>83</v>
      </c>
      <c r="D487">
        <v>661</v>
      </c>
      <c r="E487" s="59">
        <v>4.667691000008745</v>
      </c>
      <c r="F487">
        <v>82</v>
      </c>
    </row>
    <row r="488" spans="1:6">
      <c r="A488" t="s">
        <v>9</v>
      </c>
      <c r="B488">
        <v>2</v>
      </c>
      <c r="C488">
        <v>84</v>
      </c>
      <c r="D488">
        <v>2325</v>
      </c>
      <c r="E488" s="59">
        <v>5.190255000002253</v>
      </c>
      <c r="F488">
        <v>83</v>
      </c>
    </row>
    <row r="489" spans="1:6">
      <c r="A489" t="s">
        <v>9</v>
      </c>
      <c r="B489">
        <v>2</v>
      </c>
      <c r="C489">
        <v>85</v>
      </c>
      <c r="D489">
        <v>1999</v>
      </c>
      <c r="E489" s="59">
        <v>6.266826000000947</v>
      </c>
      <c r="F489">
        <v>84</v>
      </c>
    </row>
    <row r="490" spans="1:6">
      <c r="A490" t="s">
        <v>9</v>
      </c>
      <c r="B490">
        <v>2</v>
      </c>
      <c r="C490">
        <v>86</v>
      </c>
      <c r="D490">
        <v>539</v>
      </c>
      <c r="E490" s="59">
        <v>4.922532999898976</v>
      </c>
      <c r="F490">
        <v>85</v>
      </c>
    </row>
    <row r="491" spans="1:6">
      <c r="A491" t="s">
        <v>9</v>
      </c>
      <c r="B491">
        <v>2</v>
      </c>
      <c r="C491">
        <v>87</v>
      </c>
      <c r="D491">
        <v>367</v>
      </c>
      <c r="E491" s="59">
        <v>4.8551549999729104</v>
      </c>
      <c r="F491">
        <v>86</v>
      </c>
    </row>
    <row r="492" spans="1:6">
      <c r="A492" t="s">
        <v>9</v>
      </c>
      <c r="B492">
        <v>2</v>
      </c>
      <c r="C492">
        <v>88</v>
      </c>
      <c r="D492">
        <v>609</v>
      </c>
      <c r="E492" s="59">
        <v>4.7210390000600455</v>
      </c>
      <c r="F492">
        <v>87</v>
      </c>
    </row>
    <row r="493" spans="1:6">
      <c r="A493" t="s">
        <v>9</v>
      </c>
      <c r="B493">
        <v>2</v>
      </c>
      <c r="C493">
        <v>89</v>
      </c>
      <c r="D493">
        <v>378</v>
      </c>
      <c r="E493" s="59">
        <v>4.9615909999829455</v>
      </c>
      <c r="F493">
        <v>88</v>
      </c>
    </row>
    <row r="494" spans="1:6">
      <c r="A494" t="s">
        <v>9</v>
      </c>
      <c r="B494">
        <v>2</v>
      </c>
      <c r="C494">
        <v>90</v>
      </c>
      <c r="D494">
        <v>2037</v>
      </c>
      <c r="E494" s="59">
        <v>4.935358000011547</v>
      </c>
      <c r="F494">
        <v>89</v>
      </c>
    </row>
    <row r="495" spans="1:6">
      <c r="A495" t="s">
        <v>9</v>
      </c>
      <c r="B495">
        <v>2</v>
      </c>
      <c r="C495">
        <v>91</v>
      </c>
      <c r="D495">
        <v>1356</v>
      </c>
      <c r="E495" s="59">
        <v>4.705930999989505</v>
      </c>
      <c r="F495">
        <v>90</v>
      </c>
    </row>
    <row r="496" spans="1:6">
      <c r="A496" t="s">
        <v>9</v>
      </c>
      <c r="B496">
        <v>2</v>
      </c>
      <c r="C496">
        <v>92</v>
      </c>
      <c r="D496">
        <v>1693</v>
      </c>
      <c r="E496" s="59">
        <v>4.837932999976147</v>
      </c>
      <c r="F496">
        <v>91</v>
      </c>
    </row>
    <row r="497" spans="1:6">
      <c r="A497" t="s">
        <v>9</v>
      </c>
      <c r="B497">
        <v>2</v>
      </c>
      <c r="C497">
        <v>93</v>
      </c>
      <c r="D497">
        <v>337</v>
      </c>
      <c r="E497" s="59">
        <v>4.96710700008407</v>
      </c>
      <c r="F497">
        <v>92</v>
      </c>
    </row>
    <row r="498" spans="1:6">
      <c r="A498" t="s">
        <v>9</v>
      </c>
      <c r="B498">
        <v>2</v>
      </c>
      <c r="C498">
        <v>94</v>
      </c>
      <c r="D498">
        <v>1597</v>
      </c>
      <c r="E498" s="59">
        <v>4.836246000081701</v>
      </c>
      <c r="F498">
        <v>93</v>
      </c>
    </row>
    <row r="499" spans="1:6">
      <c r="A499" t="s">
        <v>9</v>
      </c>
      <c r="B499">
        <v>2</v>
      </c>
      <c r="C499">
        <v>95</v>
      </c>
      <c r="D499">
        <v>1265</v>
      </c>
      <c r="E499" s="59">
        <v>5.2958119999857445</v>
      </c>
      <c r="F499">
        <v>94</v>
      </c>
    </row>
    <row r="500" spans="1:6">
      <c r="A500" t="s">
        <v>9</v>
      </c>
      <c r="B500">
        <v>2</v>
      </c>
      <c r="C500">
        <v>96</v>
      </c>
      <c r="D500">
        <v>192</v>
      </c>
      <c r="E500" s="59">
        <v>4.732669999953032</v>
      </c>
      <c r="F500">
        <v>95</v>
      </c>
    </row>
    <row r="501" spans="1:6">
      <c r="A501" t="s">
        <v>9</v>
      </c>
      <c r="B501">
        <v>2</v>
      </c>
      <c r="C501">
        <v>97</v>
      </c>
      <c r="D501">
        <v>2326</v>
      </c>
      <c r="E501" s="59">
        <v>5.425108000054024</v>
      </c>
      <c r="F501">
        <v>96</v>
      </c>
    </row>
    <row r="502" spans="1:6">
      <c r="A502" t="s">
        <v>9</v>
      </c>
      <c r="B502">
        <v>2</v>
      </c>
      <c r="C502">
        <v>98</v>
      </c>
      <c r="D502">
        <v>1055</v>
      </c>
      <c r="E502" s="59">
        <v>5.104551000044921</v>
      </c>
      <c r="F502">
        <v>97</v>
      </c>
    </row>
    <row r="503" spans="1:6">
      <c r="A503" t="s">
        <v>9</v>
      </c>
      <c r="B503">
        <v>2</v>
      </c>
      <c r="C503">
        <v>99</v>
      </c>
      <c r="D503">
        <v>2296</v>
      </c>
      <c r="E503" s="59">
        <v>4.761044000019865</v>
      </c>
      <c r="F503">
        <v>98</v>
      </c>
    </row>
    <row r="504" spans="1:6">
      <c r="A504" t="s">
        <v>9</v>
      </c>
      <c r="B504">
        <v>2</v>
      </c>
      <c r="C504">
        <v>100</v>
      </c>
      <c r="D504">
        <v>1710</v>
      </c>
      <c r="E504" s="59">
        <v>4.979445999993004</v>
      </c>
      <c r="F504">
        <v>99</v>
      </c>
    </row>
  </sheetData>
  <autoFilter ref="A4:F504"/>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sheetPr>
    <pageSetUpPr fitToPage="1"/>
  </sheetPr>
  <dimension ref="A1:O1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4.7109375" customWidth="1"/>
    <col min="2" max="2" width="12.7109375" customWidth="1"/>
    <col min="3" max="11" width="14.7109375" customWidth="1"/>
    <col min="12" max="13" width="15.7109375" customWidth="1"/>
    <col min="14" max="15" width="20.7109375" customWidth="1"/>
  </cols>
  <sheetData>
    <row r="1" spans="1:15" ht="30" customHeight="1">
      <c r="A1" s="19" t="s">
        <v>77</v>
      </c>
    </row>
    <row r="2" spans="1:15">
      <c r="A2" s="20" t="s">
        <v>78</v>
      </c>
    </row>
    <row r="4" spans="1:15" ht="76" customHeight="1">
      <c r="A4" s="4" t="s">
        <v>2</v>
      </c>
      <c r="B4" s="4" t="s">
        <v>72</v>
      </c>
      <c r="C4" s="4" t="s">
        <v>79</v>
      </c>
      <c r="D4" s="4" t="s">
        <v>80</v>
      </c>
      <c r="E4" s="4" t="s">
        <v>81</v>
      </c>
      <c r="F4" s="4" t="s">
        <v>82</v>
      </c>
      <c r="G4" s="4" t="s">
        <v>83</v>
      </c>
      <c r="H4" s="4" t="s">
        <v>84</v>
      </c>
      <c r="I4" s="4" t="s">
        <v>85</v>
      </c>
      <c r="J4" s="4" t="s">
        <v>86</v>
      </c>
      <c r="K4" s="4" t="s">
        <v>87</v>
      </c>
      <c r="L4" s="4" t="s">
        <v>88</v>
      </c>
      <c r="M4" s="4" t="s">
        <v>89</v>
      </c>
      <c r="N4" s="4" t="s">
        <v>90</v>
      </c>
      <c r="O4" s="4" t="s">
        <v>91</v>
      </c>
    </row>
    <row r="5" spans="1:15" ht="34" customHeight="1">
      <c r="A5" s="60" t="s">
        <v>9</v>
      </c>
      <c r="B5" s="22">
        <v>1</v>
      </c>
      <c r="C5" s="61">
        <f>PERCENTILE('Raw Benchmark Runs'!$E$5:$E$104,0.5)</f>
        <v>5.227630999968369</v>
      </c>
      <c r="D5" s="61">
        <f>PERCENTILE('Raw Benchmark Runs'!$E$5:$E$104,0.95)</f>
        <v>6.531877149961926</v>
      </c>
      <c r="E5" s="61">
        <f>AVERAGE('Raw Benchmark Runs'!$E$5:$E$104)</f>
        <v>5.450246360002211</v>
      </c>
      <c r="F5" s="61">
        <f>MIN('Raw Benchmark Runs'!$E$5:$E$104)</f>
        <v>4.896877999954086</v>
      </c>
      <c r="G5" s="61">
        <f>MAX('Raw Benchmark Runs'!$E$5:$E$104)</f>
        <v>9.973850000051243</v>
      </c>
      <c r="H5" s="61">
        <v>69.9658203125</v>
      </c>
      <c r="I5" s="62">
        <v>75.40283203125</v>
      </c>
      <c r="J5" s="61">
        <f>I5-H5</f>
        <v>5.43701171875</v>
      </c>
      <c r="K5" s="61">
        <v>4.805198669433594</v>
      </c>
      <c r="L5" s="41">
        <v>1259654</v>
      </c>
      <c r="M5" s="41">
        <v>530950</v>
      </c>
      <c r="N5" s="61">
        <v>65.0625</v>
      </c>
      <c r="O5" s="61">
        <f>I5-N5</f>
        <v>10.34033203125</v>
      </c>
    </row>
    <row r="6" spans="1:15" ht="34" customHeight="1">
      <c r="A6" s="60" t="s">
        <v>13</v>
      </c>
      <c r="B6" s="22">
        <v>1</v>
      </c>
      <c r="C6" s="61">
        <f>PERCENTILE('Raw Benchmark Runs'!$E$105:$E$204,0.5)</f>
        <v>6.931631499980995</v>
      </c>
      <c r="D6" s="61">
        <f>PERCENTILE('Raw Benchmark Runs'!$E$105:$E$204,0.95)</f>
        <v>8.288925900012599</v>
      </c>
      <c r="E6" s="61">
        <f>AVERAGE('Raw Benchmark Runs'!$E$105:$E$204)</f>
        <v>7.135000610004454</v>
      </c>
      <c r="F6" s="61">
        <f>MIN('Raw Benchmark Runs'!$E$105:$E$204)</f>
        <v>6.461409000053209</v>
      </c>
      <c r="G6" s="61">
        <f>MAX('Raw Benchmark Runs'!$E$105:$E$204)</f>
        <v>11.841704000062236</v>
      </c>
      <c r="H6" s="61">
        <v>69.9658203125</v>
      </c>
      <c r="I6" s="62">
        <v>75.40283203125</v>
      </c>
      <c r="J6" s="61">
        <f>I6-H6</f>
        <v>5.43701171875</v>
      </c>
      <c r="K6" s="61">
        <v>4.805198669433594</v>
      </c>
      <c r="L6" s="41">
        <v>1259654</v>
      </c>
      <c r="M6" s="41">
        <v>530950</v>
      </c>
      <c r="N6" s="61">
        <v>65.0625</v>
      </c>
      <c r="O6" s="61">
        <f>I6-N6</f>
        <v>10.34033203125</v>
      </c>
    </row>
    <row r="7" spans="1:15" ht="34" customHeight="1">
      <c r="A7" s="60" t="s">
        <v>17</v>
      </c>
      <c r="B7" s="22">
        <v>1</v>
      </c>
      <c r="C7" s="61">
        <f>PERCENTILE('Raw Benchmark Runs'!$E$205:$E$304,0.5)</f>
        <v>11.474539499999992</v>
      </c>
      <c r="D7" s="61">
        <f>PERCENTILE('Raw Benchmark Runs'!$E$205:$E$304,0.95)</f>
        <v>13.280214150091751</v>
      </c>
      <c r="E7" s="61">
        <f>AVERAGE('Raw Benchmark Runs'!$E$205:$E$304)</f>
        <v>11.713738860006515</v>
      </c>
      <c r="F7" s="61">
        <f>MIN('Raw Benchmark Runs'!$E$205:$E$304)</f>
        <v>10.892761000036444</v>
      </c>
      <c r="G7" s="61">
        <f>MAX('Raw Benchmark Runs'!$E$205:$E$304)</f>
        <v>17.383112000061374</v>
      </c>
      <c r="H7" s="61">
        <v>68.4794921875</v>
      </c>
      <c r="I7" s="62">
        <v>73.91259765625</v>
      </c>
      <c r="J7" s="61">
        <f>I7-H7</f>
        <v>5.43310546875</v>
      </c>
      <c r="K7" s="61">
        <v>3.3120346069335938</v>
      </c>
      <c r="L7" s="41">
        <v>1259654</v>
      </c>
      <c r="M7" s="41">
        <v>530950</v>
      </c>
      <c r="N7" s="61">
        <v>65.0625</v>
      </c>
      <c r="O7" s="61">
        <f>I7-N7</f>
        <v>8.85009765625</v>
      </c>
    </row>
    <row r="8" spans="1:15" ht="34" customHeight="1">
      <c r="A8" s="60" t="s">
        <v>21</v>
      </c>
      <c r="B8" s="22">
        <v>1</v>
      </c>
      <c r="C8" s="61">
        <f>PERCENTILE('Raw Benchmark Runs'!$E$305:$E$404,0.5)</f>
        <v>2.8454859999555993</v>
      </c>
      <c r="D8" s="61">
        <f>PERCENTILE('Raw Benchmark Runs'!$E$305:$E$404,0.95)</f>
        <v>3.373775349996322</v>
      </c>
      <c r="E8" s="61">
        <f>AVERAGE('Raw Benchmark Runs'!$E$305:$E$404)</f>
        <v>2.933961089999002</v>
      </c>
      <c r="F8" s="61">
        <f>MIN('Raw Benchmark Runs'!$E$305:$E$404)</f>
        <v>2.619098999957714</v>
      </c>
      <c r="G8" s="61">
        <f>MAX('Raw Benchmark Runs'!$E$305:$E$404)</f>
        <v>4.527424999992036</v>
      </c>
      <c r="H8" s="61">
        <v>66.81201171875</v>
      </c>
      <c r="I8" s="62">
        <v>69.53125</v>
      </c>
      <c r="J8" s="61">
        <f>I8-H8</f>
        <v>2.71923828125</v>
      </c>
      <c r="K8" s="61">
        <v>1.6472396850585938</v>
      </c>
      <c r="L8" s="41">
        <v>431814</v>
      </c>
      <c r="M8" s="41">
        <v>67462</v>
      </c>
      <c r="N8" s="61">
        <v>65.0625</v>
      </c>
      <c r="O8" s="61">
        <f>I8-N8</f>
        <v>4.46875</v>
      </c>
    </row>
    <row r="9" spans="1:15" ht="34" customHeight="1">
      <c r="A9" s="63" t="s">
        <v>92</v>
      </c>
      <c r="B9" s="26">
        <v>2</v>
      </c>
      <c r="C9" s="64">
        <f>PERCENTILE('Raw Benchmark Runs'!$E$405:$E$504,0.5)</f>
        <v>4.9416790000123</v>
      </c>
      <c r="D9" s="64">
        <f>PERCENTILE('Raw Benchmark Runs'!$E$405:$E$504,0.95)</f>
        <v>7.11411269996347</v>
      </c>
      <c r="E9" s="64">
        <f>AVERAGE('Raw Benchmark Runs'!$E$405:$E$504)</f>
        <v>5.201526620008963</v>
      </c>
      <c r="F9" s="64">
        <f>MIN('Raw Benchmark Runs'!$E$405:$E$504)</f>
        <v>4.650846999993519</v>
      </c>
      <c r="G9" s="64">
        <f>MAX('Raw Benchmark Runs'!$E$405:$E$504)</f>
        <v>9.176203000038186</v>
      </c>
      <c r="H9" s="64">
        <v>69.9658203125</v>
      </c>
      <c r="I9" s="65">
        <v>75.40283203125</v>
      </c>
      <c r="J9" s="64">
        <f>I9-H9</f>
        <v>5.43701171875</v>
      </c>
      <c r="K9" s="64">
        <v>4.805198669433594</v>
      </c>
      <c r="L9" s="50">
        <v>1259654</v>
      </c>
      <c r="M9" s="50">
        <v>530950</v>
      </c>
      <c r="N9" s="64">
        <v>65.0625</v>
      </c>
      <c r="O9" s="64">
        <f>I9-N9</f>
        <v>10.34033203125</v>
      </c>
    </row>
    <row r="11" spans="1:15">
      <c r="A11" s="16" t="s">
        <v>93</v>
      </c>
      <c r="B11" s="16"/>
      <c r="C11" s="16"/>
      <c r="D11" s="16"/>
      <c r="E11" s="16"/>
      <c r="F11" s="16"/>
      <c r="G11" s="16"/>
      <c r="H11" s="16"/>
      <c r="I11" s="16"/>
      <c r="J11" s="16"/>
      <c r="K11" s="16"/>
      <c r="L11" s="16"/>
      <c r="M11" s="16"/>
      <c r="N11" s="16"/>
      <c r="O11" s="16"/>
    </row>
    <row r="12" spans="1:15">
      <c r="A12" s="4" t="s">
        <v>30</v>
      </c>
      <c r="B12" s="4"/>
      <c r="C12" s="4" t="s">
        <v>94</v>
      </c>
      <c r="D12" s="4" t="s">
        <v>95</v>
      </c>
      <c r="E12" s="4" t="s">
        <v>96</v>
      </c>
      <c r="F12" s="4" t="s">
        <v>97</v>
      </c>
      <c r="G12" s="4" t="s">
        <v>98</v>
      </c>
    </row>
    <row r="13" spans="1:15">
      <c r="A13" s="66" t="s">
        <v>99</v>
      </c>
      <c r="B13" s="66"/>
      <c r="C13" s="67">
        <f>C5</f>
        <v>5.227630999968369</v>
      </c>
      <c r="D13" s="67">
        <f>C9</f>
        <v>4.9416790000123</v>
      </c>
      <c r="E13" s="68">
        <f>ABS(D13-C13)/C13</f>
        <v>0.05470011176339706</v>
      </c>
      <c r="F13" s="69">
        <v>0.15</v>
      </c>
      <c r="G13" s="66" t="str">
        <f>IF(E13&lt;=F13,"Yes","No: timing flagged unstable")</f>
        <v>Yes</v>
      </c>
    </row>
    <row r="14" spans="1:15">
      <c r="A14" s="66" t="s">
        <v>100</v>
      </c>
      <c r="B14" s="66"/>
      <c r="C14" s="67">
        <f>D5</f>
        <v>6.531877149961926</v>
      </c>
      <c r="D14" s="67">
        <f>D9</f>
        <v>7.11411269996347</v>
      </c>
      <c r="E14" s="68">
        <f>ABS(D14-C14)/C14</f>
        <v>0.08913755366708596</v>
      </c>
      <c r="F14" s="69">
        <v>0.15</v>
      </c>
      <c r="G14" s="66" t="str">
        <f>IF(E14&lt;=F14,"Yes","No: timing flagged unstable")</f>
        <v>Yes</v>
      </c>
    </row>
    <row r="15" spans="1:15" ht="22" customHeight="1">
      <c r="A15" s="70" t="s">
        <v>101</v>
      </c>
      <c r="B15" s="70"/>
      <c r="C15" s="70"/>
      <c r="D15" s="70"/>
      <c r="E15" s="70"/>
      <c r="F15" s="70"/>
      <c r="G15" s="70"/>
      <c r="H15" s="70"/>
      <c r="I15" s="70"/>
      <c r="J15" s="70"/>
      <c r="K15" s="70"/>
      <c r="L15" s="70"/>
      <c r="M15" s="70"/>
      <c r="N15" s="70"/>
      <c r="O15" s="70"/>
    </row>
    <row r="17" spans="1:15" ht="53.56" customHeight="1">
      <c r="A17" s="17" t="s">
        <v>102</v>
      </c>
      <c r="B17" s="17"/>
      <c r="C17" s="17"/>
      <c r="D17" s="17"/>
      <c r="E17" s="17"/>
      <c r="F17" s="17"/>
      <c r="G17" s="17"/>
      <c r="H17" s="17"/>
      <c r="I17" s="17"/>
      <c r="J17" s="17"/>
      <c r="K17" s="17"/>
      <c r="L17" s="17"/>
      <c r="M17" s="17"/>
      <c r="N17" s="17"/>
      <c r="O17" s="17"/>
    </row>
    <row r="18" spans="1:15" ht="53.56" customHeight="1">
      <c r="A18" s="17" t="s">
        <v>103</v>
      </c>
      <c r="B18" s="17"/>
      <c r="C18" s="17"/>
      <c r="D18" s="17"/>
      <c r="E18" s="17"/>
      <c r="F18" s="17"/>
      <c r="G18" s="17"/>
      <c r="H18" s="17"/>
      <c r="I18" s="17"/>
      <c r="J18" s="17"/>
      <c r="K18" s="17"/>
      <c r="L18" s="17"/>
      <c r="M18" s="17"/>
      <c r="N18" s="17"/>
      <c r="O18" s="17"/>
    </row>
  </sheetData>
  <mergeCells count="7">
    <mergeCell ref="A11:O11"/>
    <mergeCell ref="A12:B12"/>
    <mergeCell ref="A13:B13"/>
    <mergeCell ref="A14:B14"/>
    <mergeCell ref="A15:O15"/>
    <mergeCell ref="A17:O17"/>
    <mergeCell ref="A18:O18"/>
  </mergeCells>
  <pageMargins left="0.7" right="0.7" top="0.75" bottom="0.75" header="0.3" footer="0.3"/>
  <pageSetup paperSize="9" fitToHeight="0" orientation="landscape"/>
</worksheet>
</file>

<file path=xl/worksheets/sheet6.xml><?xml version="1.0" encoding="utf-8"?>
<worksheet xmlns="http://schemas.openxmlformats.org/spreadsheetml/2006/main" xmlns:r="http://schemas.openxmlformats.org/officeDocument/2006/relationships">
  <sheetPr>
    <pageSetUpPr fitToPage="1"/>
  </sheetPr>
  <dimension ref="A1:L28"/>
  <sheetViews>
    <sheetView showGridLines="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40.7109375" customWidth="1"/>
    <col min="2" max="4" width="17.7109375" customWidth="1"/>
    <col min="5" max="11" width="19.7109375" customWidth="1"/>
    <col min="12" max="12" width="70.7109375" customWidth="1"/>
  </cols>
  <sheetData>
    <row r="1" spans="1:12" ht="30" customHeight="1">
      <c r="A1" s="19" t="s">
        <v>104</v>
      </c>
    </row>
    <row r="2" spans="1:12">
      <c r="A2" s="20" t="s">
        <v>105</v>
      </c>
    </row>
    <row r="4" spans="1:12">
      <c r="B4" s="71" t="s">
        <v>106</v>
      </c>
      <c r="C4" s="71"/>
      <c r="D4" s="71"/>
      <c r="E4" s="72" t="s">
        <v>107</v>
      </c>
      <c r="F4" s="72"/>
      <c r="G4" s="72"/>
      <c r="H4" s="72"/>
      <c r="I4" s="72"/>
      <c r="J4" s="72"/>
      <c r="K4" s="72"/>
    </row>
    <row r="5" spans="1:12" ht="62" customHeight="1">
      <c r="A5" s="4" t="s">
        <v>2</v>
      </c>
      <c r="B5" s="4" t="s">
        <v>88</v>
      </c>
      <c r="C5" s="4" t="s">
        <v>108</v>
      </c>
      <c r="D5" s="4" t="s">
        <v>109</v>
      </c>
      <c r="E5" s="4" t="s">
        <v>110</v>
      </c>
      <c r="F5" s="4" t="s">
        <v>111</v>
      </c>
      <c r="G5" s="4" t="s">
        <v>112</v>
      </c>
      <c r="H5" s="4" t="s">
        <v>113</v>
      </c>
      <c r="I5" s="4" t="s">
        <v>114</v>
      </c>
      <c r="J5" s="4" t="s">
        <v>115</v>
      </c>
      <c r="K5" s="4" t="s">
        <v>116</v>
      </c>
      <c r="L5" s="4" t="s">
        <v>117</v>
      </c>
    </row>
    <row r="6" spans="1:12" ht="64" customHeight="1">
      <c r="A6" s="73" t="s">
        <v>9</v>
      </c>
      <c r="B6" s="74">
        <v>1259654</v>
      </c>
      <c r="C6" s="74">
        <v>530950</v>
      </c>
      <c r="D6" s="74">
        <v>10752000</v>
      </c>
      <c r="E6" s="75">
        <f>6*C6*D6</f>
        <v>34252646400000.0</v>
      </c>
      <c r="F6" s="74">
        <f>20*C6</f>
        <v>10619000.0</v>
      </c>
      <c r="G6" s="75">
        <f>6*C6*F6</f>
        <v>33828948300000.0</v>
      </c>
      <c r="H6" s="74">
        <f>10*C6</f>
        <v>5309500.0</v>
      </c>
      <c r="I6" s="74">
        <f>20*H6</f>
        <v>106190000.0</v>
      </c>
      <c r="J6" s="75">
        <f>6*H6*I6</f>
        <v>3382894830000000.0</v>
      </c>
      <c r="K6" s="76">
        <f>J6/G6</f>
        <v>100.0</v>
      </c>
      <c r="L6" s="6" t="s">
        <v>118</v>
      </c>
    </row>
    <row r="7" spans="1:12" ht="64" customHeight="1">
      <c r="A7" s="73" t="s">
        <v>13</v>
      </c>
      <c r="B7" s="74">
        <v>1259654</v>
      </c>
      <c r="C7" s="74">
        <v>530950</v>
      </c>
      <c r="D7" s="74">
        <v>10752000</v>
      </c>
      <c r="E7" s="75">
        <f>6*C7*D7</f>
        <v>34252646400000.0</v>
      </c>
      <c r="F7" s="74">
        <f>20*C7</f>
        <v>10619000.0</v>
      </c>
      <c r="G7" s="75">
        <f>6*C7*F7</f>
        <v>33828948300000.0</v>
      </c>
      <c r="H7" s="74">
        <f>10*C7</f>
        <v>5309500.0</v>
      </c>
      <c r="I7" s="74">
        <f>20*H7</f>
        <v>106190000.0</v>
      </c>
      <c r="J7" s="75">
        <f>6*H7*I7</f>
        <v>3382894830000000.0</v>
      </c>
      <c r="K7" s="76">
        <f>J7/G7</f>
        <v>100.0</v>
      </c>
      <c r="L7" s="6" t="s">
        <v>119</v>
      </c>
    </row>
    <row r="8" spans="1:12" ht="68.08" customHeight="1">
      <c r="A8" s="73" t="s">
        <v>17</v>
      </c>
      <c r="B8" s="74">
        <v>1259654</v>
      </c>
      <c r="C8" s="74">
        <v>530950</v>
      </c>
      <c r="D8" s="74">
        <v>10752000</v>
      </c>
      <c r="E8" s="75">
        <f>6*C8*D8</f>
        <v>34252646400000.0</v>
      </c>
      <c r="F8" s="74">
        <f>20*C8</f>
        <v>10619000.0</v>
      </c>
      <c r="G8" s="75">
        <f>6*C8*F8</f>
        <v>33828948300000.0</v>
      </c>
      <c r="H8" s="74">
        <f>10*C8</f>
        <v>5309500.0</v>
      </c>
      <c r="I8" s="74">
        <f>20*H8</f>
        <v>106190000.0</v>
      </c>
      <c r="J8" s="75">
        <f>6*H8*I8</f>
        <v>3382894830000000.0</v>
      </c>
      <c r="K8" s="76">
        <f>J8/G8</f>
        <v>100.0</v>
      </c>
      <c r="L8" s="6" t="s">
        <v>120</v>
      </c>
    </row>
    <row r="9" spans="1:12" ht="64" customHeight="1">
      <c r="A9" s="73" t="s">
        <v>21</v>
      </c>
      <c r="B9" s="74">
        <v>431814</v>
      </c>
      <c r="C9" s="74">
        <v>67462</v>
      </c>
      <c r="D9" s="74">
        <v>10752000</v>
      </c>
      <c r="E9" s="75">
        <f>6*C9*D9</f>
        <v>4352108544000.0</v>
      </c>
      <c r="F9" s="74">
        <f>20*C9</f>
        <v>1349240.0</v>
      </c>
      <c r="G9" s="75">
        <f>6*C9*F9</f>
        <v>546134573280.0</v>
      </c>
      <c r="H9" s="74">
        <f>10*C9</f>
        <v>674620.0</v>
      </c>
      <c r="I9" s="74">
        <f>20*H9</f>
        <v>13492400.0</v>
      </c>
      <c r="J9" s="75">
        <f>6*H9*I9</f>
        <v>54613457328000.0</v>
      </c>
      <c r="K9" s="76">
        <f>J9/G9</f>
        <v>100.0</v>
      </c>
      <c r="L9" s="6" t="s">
        <v>121</v>
      </c>
    </row>
    <row r="11" spans="1:12">
      <c r="A11" s="16" t="s">
        <v>122</v>
      </c>
      <c r="B11" s="16"/>
      <c r="C11" s="16"/>
      <c r="D11" s="16"/>
      <c r="E11" s="16"/>
      <c r="F11" s="16"/>
      <c r="G11" s="16"/>
      <c r="H11" s="16"/>
      <c r="I11" s="16"/>
      <c r="J11" s="16"/>
      <c r="K11" s="16"/>
      <c r="L11" s="16"/>
    </row>
    <row r="12" spans="1:12" ht="34" customHeight="1">
      <c r="A12" s="4" t="s">
        <v>2</v>
      </c>
      <c r="B12" s="4" t="s">
        <v>123</v>
      </c>
      <c r="C12" s="4" t="s">
        <v>124</v>
      </c>
      <c r="D12" s="4" t="s">
        <v>115</v>
      </c>
      <c r="E12" s="4" t="s">
        <v>125</v>
      </c>
    </row>
    <row r="13" spans="1:12">
      <c r="A13" s="36" t="s">
        <v>9</v>
      </c>
      <c r="B13" s="77" t="s">
        <v>126</v>
      </c>
      <c r="C13" s="77" t="s">
        <v>127</v>
      </c>
      <c r="D13" s="77" t="s">
        <v>128</v>
      </c>
      <c r="E13" s="77" t="s">
        <v>129</v>
      </c>
    </row>
    <row r="14" spans="1:12">
      <c r="A14" s="36" t="s">
        <v>13</v>
      </c>
      <c r="B14" s="77" t="s">
        <v>126</v>
      </c>
      <c r="C14" s="77" t="s">
        <v>127</v>
      </c>
      <c r="D14" s="77" t="s">
        <v>128</v>
      </c>
      <c r="E14" s="77" t="s">
        <v>129</v>
      </c>
    </row>
    <row r="15" spans="1:12">
      <c r="A15" s="36" t="s">
        <v>17</v>
      </c>
      <c r="B15" s="77" t="s">
        <v>126</v>
      </c>
      <c r="C15" s="77" t="s">
        <v>127</v>
      </c>
      <c r="D15" s="77" t="s">
        <v>128</v>
      </c>
      <c r="E15" s="77" t="s">
        <v>129</v>
      </c>
    </row>
    <row r="16" spans="1:12">
      <c r="A16" s="36" t="s">
        <v>21</v>
      </c>
      <c r="B16" s="77" t="s">
        <v>130</v>
      </c>
      <c r="C16" s="77" t="s">
        <v>131</v>
      </c>
      <c r="D16" s="77" t="s">
        <v>132</v>
      </c>
      <c r="E16" s="77" t="s">
        <v>133</v>
      </c>
    </row>
    <row r="18" spans="1:12">
      <c r="A18" s="16" t="s">
        <v>134</v>
      </c>
      <c r="B18" s="16"/>
      <c r="C18" s="16"/>
      <c r="D18" s="16"/>
      <c r="E18" s="16"/>
      <c r="F18" s="16"/>
      <c r="G18" s="16"/>
      <c r="H18" s="16"/>
      <c r="I18" s="16"/>
      <c r="J18" s="16"/>
      <c r="K18" s="16"/>
      <c r="L18" s="16"/>
    </row>
    <row r="19" spans="1:12" ht="39.04" customHeight="1">
      <c r="A19" s="17" t="s">
        <v>135</v>
      </c>
      <c r="B19" s="17"/>
      <c r="C19" s="17"/>
      <c r="D19" s="17"/>
      <c r="E19" s="17"/>
      <c r="F19" s="17"/>
      <c r="G19" s="17"/>
      <c r="H19" s="17"/>
      <c r="I19" s="17"/>
      <c r="J19" s="17"/>
      <c r="K19" s="17"/>
      <c r="L19" s="17"/>
    </row>
    <row r="20" spans="1:12" ht="39.04" customHeight="1">
      <c r="A20" s="17" t="s">
        <v>136</v>
      </c>
      <c r="B20" s="17"/>
      <c r="C20" s="17"/>
      <c r="D20" s="17"/>
      <c r="E20" s="17"/>
      <c r="F20" s="17"/>
      <c r="G20" s="17"/>
      <c r="H20" s="17"/>
      <c r="I20" s="17"/>
      <c r="J20" s="17"/>
      <c r="K20" s="17"/>
      <c r="L20" s="17"/>
    </row>
    <row r="21" spans="1:12" ht="39.04" customHeight="1">
      <c r="A21" s="17" t="s">
        <v>137</v>
      </c>
      <c r="B21" s="17"/>
      <c r="C21" s="17"/>
      <c r="D21" s="17"/>
      <c r="E21" s="17"/>
      <c r="F21" s="17"/>
      <c r="G21" s="17"/>
      <c r="H21" s="17"/>
      <c r="I21" s="17"/>
      <c r="J21" s="17"/>
      <c r="K21" s="17"/>
      <c r="L21" s="17"/>
    </row>
    <row r="22" spans="1:12" ht="39.04" customHeight="1">
      <c r="A22" s="17" t="s">
        <v>138</v>
      </c>
      <c r="B22" s="17"/>
      <c r="C22" s="17"/>
      <c r="D22" s="17"/>
      <c r="E22" s="17"/>
      <c r="F22" s="17"/>
      <c r="G22" s="17"/>
      <c r="H22" s="17"/>
      <c r="I22" s="17"/>
      <c r="J22" s="17"/>
      <c r="K22" s="17"/>
      <c r="L22" s="17"/>
    </row>
    <row r="23" spans="1:12" ht="24.52" customHeight="1">
      <c r="A23" s="17" t="s">
        <v>139</v>
      </c>
      <c r="B23" s="17"/>
      <c r="C23" s="17"/>
      <c r="D23" s="17"/>
      <c r="E23" s="17"/>
      <c r="F23" s="17"/>
      <c r="G23" s="17"/>
      <c r="H23" s="17"/>
      <c r="I23" s="17"/>
      <c r="J23" s="17"/>
      <c r="K23" s="17"/>
      <c r="L23" s="17"/>
    </row>
    <row r="24" spans="1:12" ht="24.52" customHeight="1">
      <c r="A24" s="17" t="s">
        <v>140</v>
      </c>
      <c r="B24" s="17"/>
      <c r="C24" s="17"/>
      <c r="D24" s="17"/>
      <c r="E24" s="17"/>
      <c r="F24" s="17"/>
      <c r="G24" s="17"/>
      <c r="H24" s="17"/>
      <c r="I24" s="17"/>
      <c r="J24" s="17"/>
      <c r="K24" s="17"/>
      <c r="L24" s="17"/>
    </row>
    <row r="25" spans="1:12" ht="24.52" customHeight="1">
      <c r="A25" s="17" t="s">
        <v>141</v>
      </c>
      <c r="B25" s="17"/>
      <c r="C25" s="17"/>
      <c r="D25" s="17"/>
      <c r="E25" s="17"/>
      <c r="F25" s="17"/>
      <c r="G25" s="17"/>
      <c r="H25" s="17"/>
      <c r="I25" s="17"/>
      <c r="J25" s="17"/>
      <c r="K25" s="17"/>
      <c r="L25" s="17"/>
    </row>
    <row r="26" spans="1:12" ht="24.52" customHeight="1">
      <c r="A26" s="17" t="s">
        <v>142</v>
      </c>
      <c r="B26" s="17"/>
      <c r="C26" s="17"/>
      <c r="D26" s="17"/>
      <c r="E26" s="17"/>
      <c r="F26" s="17"/>
      <c r="G26" s="17"/>
      <c r="H26" s="17"/>
      <c r="I26" s="17"/>
      <c r="J26" s="17"/>
      <c r="K26" s="17"/>
      <c r="L26" s="17"/>
    </row>
    <row r="27" spans="1:12" ht="24.52" customHeight="1">
      <c r="A27" s="17" t="s">
        <v>143</v>
      </c>
      <c r="B27" s="17"/>
      <c r="C27" s="17"/>
      <c r="D27" s="17"/>
      <c r="E27" s="17"/>
      <c r="F27" s="17"/>
      <c r="G27" s="17"/>
      <c r="H27" s="17"/>
      <c r="I27" s="17"/>
      <c r="J27" s="17"/>
      <c r="K27" s="17"/>
      <c r="L27" s="17"/>
    </row>
    <row r="28" spans="1:12" ht="39.04" customHeight="1">
      <c r="A28" s="17" t="s">
        <v>144</v>
      </c>
      <c r="B28" s="17"/>
      <c r="C28" s="17"/>
      <c r="D28" s="17"/>
      <c r="E28" s="17"/>
      <c r="F28" s="17"/>
      <c r="G28" s="17"/>
      <c r="H28" s="17"/>
      <c r="I28" s="17"/>
      <c r="J28" s="17"/>
      <c r="K28" s="17"/>
      <c r="L28" s="17"/>
    </row>
  </sheetData>
  <mergeCells count="14">
    <mergeCell ref="B4:D4"/>
    <mergeCell ref="E4:K4"/>
    <mergeCell ref="A11:L11"/>
    <mergeCell ref="A18:L18"/>
    <mergeCell ref="A19:L19"/>
    <mergeCell ref="A20:L20"/>
    <mergeCell ref="A21:L21"/>
    <mergeCell ref="A22:L22"/>
    <mergeCell ref="A23:L23"/>
    <mergeCell ref="A24:L24"/>
    <mergeCell ref="A25:L25"/>
    <mergeCell ref="A26:L26"/>
    <mergeCell ref="A27:L27"/>
    <mergeCell ref="A28:L28"/>
  </mergeCells>
  <pageMargins left="0.7" right="0.7" top="0.75" bottom="0.75" header="0.3" footer="0.3"/>
  <pageSetup paperSize="9" fitToHeight="0" orientation="landscape"/>
</worksheet>
</file>

<file path=xl/worksheets/sheet7.xml><?xml version="1.0" encoding="utf-8"?>
<worksheet xmlns="http://schemas.openxmlformats.org/spreadsheetml/2006/main" xmlns:r="http://schemas.openxmlformats.org/officeDocument/2006/relationships">
  <sheetPr>
    <pageSetUpPr fitToPage="1"/>
  </sheetPr>
  <dimension ref="A1:C72"/>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34.7109375" customWidth="1"/>
    <col min="2" max="2" width="120.7109375" customWidth="1"/>
    <col min="3" max="3" width="52.7109375" customWidth="1"/>
  </cols>
  <sheetData>
    <row r="1" spans="1:3" ht="30" customHeight="1">
      <c r="A1" s="19" t="s">
        <v>186</v>
      </c>
    </row>
    <row r="2" spans="1:3">
      <c r="A2" s="20" t="s">
        <v>187</v>
      </c>
    </row>
    <row r="4" spans="1:3" ht="22" customHeight="1">
      <c r="A4" s="16" t="s">
        <v>188</v>
      </c>
      <c r="B4" s="16"/>
      <c r="C4" s="16"/>
    </row>
    <row r="5" spans="1:3" ht="24.52" customHeight="1">
      <c r="A5" s="78" t="s">
        <v>188</v>
      </c>
      <c r="B5" s="6" t="s">
        <v>189</v>
      </c>
      <c r="C5" s="79" t="s">
        <v>190</v>
      </c>
    </row>
    <row r="6" spans="1:3" ht="24.52" customHeight="1">
      <c r="A6" s="78" t="s">
        <v>191</v>
      </c>
      <c r="B6" s="6" t="s">
        <v>192</v>
      </c>
      <c r="C6" s="79" t="s">
        <v>193</v>
      </c>
    </row>
    <row r="7" spans="1:3" ht="39.04" customHeight="1">
      <c r="A7" s="78" t="s">
        <v>194</v>
      </c>
      <c r="B7" s="6" t="s">
        <v>195</v>
      </c>
      <c r="C7" s="79" t="s">
        <v>190</v>
      </c>
    </row>
    <row r="8" spans="1:3" ht="24.52" customHeight="1">
      <c r="A8" s="78" t="s">
        <v>196</v>
      </c>
      <c r="B8" s="6" t="s">
        <v>197</v>
      </c>
      <c r="C8" s="79" t="s">
        <v>193</v>
      </c>
    </row>
    <row r="9" spans="1:3" ht="39.04" customHeight="1">
      <c r="A9" s="78" t="s">
        <v>198</v>
      </c>
      <c r="B9" s="6" t="s">
        <v>199</v>
      </c>
      <c r="C9" s="79" t="s">
        <v>200</v>
      </c>
    </row>
    <row r="10" spans="1:3" ht="53.56" customHeight="1">
      <c r="A10" s="78" t="s">
        <v>201</v>
      </c>
      <c r="B10" s="6" t="s">
        <v>202</v>
      </c>
      <c r="C10" s="79" t="s">
        <v>203</v>
      </c>
    </row>
    <row r="11" spans="1:3" ht="36.4" customHeight="1">
      <c r="A11" s="78" t="s">
        <v>204</v>
      </c>
      <c r="B11" s="6" t="s">
        <v>205</v>
      </c>
      <c r="C11" s="79" t="s">
        <v>206</v>
      </c>
    </row>
    <row r="12" spans="1:3" ht="22" customHeight="1">
      <c r="A12" s="16" t="s">
        <v>207</v>
      </c>
      <c r="B12" s="16"/>
      <c r="C12" s="16"/>
    </row>
    <row r="13" spans="1:3" ht="39.04" customHeight="1">
      <c r="A13" s="78" t="s">
        <v>208</v>
      </c>
      <c r="B13" s="6" t="s">
        <v>209</v>
      </c>
      <c r="C13" s="79" t="s">
        <v>210</v>
      </c>
    </row>
    <row r="14" spans="1:3" ht="39.04" customHeight="1">
      <c r="A14" s="78" t="s">
        <v>211</v>
      </c>
      <c r="B14" s="6" t="s">
        <v>212</v>
      </c>
      <c r="C14" s="79" t="s">
        <v>213</v>
      </c>
    </row>
    <row r="15" spans="1:3" ht="39.04" customHeight="1">
      <c r="A15" s="78" t="s">
        <v>9</v>
      </c>
      <c r="B15" s="6" t="s">
        <v>214</v>
      </c>
      <c r="C15" s="79" t="s">
        <v>215</v>
      </c>
    </row>
    <row r="16" spans="1:3" ht="53.56" customHeight="1">
      <c r="A16" s="78" t="s">
        <v>13</v>
      </c>
      <c r="B16" s="6" t="s">
        <v>216</v>
      </c>
      <c r="C16" s="79" t="s">
        <v>217</v>
      </c>
    </row>
    <row r="17" spans="1:3" ht="53.56" customHeight="1">
      <c r="A17" s="78" t="s">
        <v>218</v>
      </c>
      <c r="B17" s="6" t="s">
        <v>219</v>
      </c>
      <c r="C17" s="79" t="s">
        <v>220</v>
      </c>
    </row>
    <row r="18" spans="1:3" ht="53.56" customHeight="1">
      <c r="A18" s="78" t="s">
        <v>221</v>
      </c>
      <c r="B18" s="6" t="s">
        <v>222</v>
      </c>
      <c r="C18" s="79" t="s">
        <v>223</v>
      </c>
    </row>
    <row r="19" spans="1:3" ht="39.04" customHeight="1">
      <c r="A19" s="78" t="s">
        <v>224</v>
      </c>
      <c r="B19" s="6" t="s">
        <v>225</v>
      </c>
      <c r="C19" s="79" t="s">
        <v>226</v>
      </c>
    </row>
    <row r="20" spans="1:3" ht="53.56" customHeight="1">
      <c r="A20" s="78" t="s">
        <v>227</v>
      </c>
      <c r="B20" s="6" t="s">
        <v>228</v>
      </c>
      <c r="C20" s="79" t="s">
        <v>229</v>
      </c>
    </row>
    <row r="21" spans="1:3" ht="22" customHeight="1">
      <c r="A21" s="16" t="s">
        <v>230</v>
      </c>
      <c r="B21" s="16"/>
      <c r="C21" s="16"/>
    </row>
    <row r="22" spans="1:3" ht="39.04" customHeight="1">
      <c r="A22" s="78" t="s">
        <v>231</v>
      </c>
      <c r="B22" s="6" t="s">
        <v>232</v>
      </c>
      <c r="C22" s="79" t="s">
        <v>233</v>
      </c>
    </row>
    <row r="23" spans="1:3" ht="39.04" customHeight="1">
      <c r="A23" s="78" t="s">
        <v>234</v>
      </c>
      <c r="B23" s="6" t="s">
        <v>235</v>
      </c>
      <c r="C23" s="79" t="s">
        <v>236</v>
      </c>
    </row>
    <row r="24" spans="1:3" ht="39.04" customHeight="1">
      <c r="A24" s="78" t="s">
        <v>237</v>
      </c>
      <c r="B24" s="6" t="s">
        <v>238</v>
      </c>
      <c r="C24" s="79" t="s">
        <v>239</v>
      </c>
    </row>
    <row r="25" spans="1:3" ht="22" customHeight="1">
      <c r="A25" s="16" t="s">
        <v>240</v>
      </c>
      <c r="B25" s="16"/>
      <c r="C25" s="16"/>
    </row>
    <row r="26" spans="1:3" ht="24.52" customHeight="1">
      <c r="A26" s="78" t="s">
        <v>241</v>
      </c>
      <c r="B26" s="6" t="s">
        <v>242</v>
      </c>
      <c r="C26" s="79" t="s">
        <v>243</v>
      </c>
    </row>
    <row r="27" spans="1:3" ht="24.52" customHeight="1">
      <c r="A27" s="78" t="s">
        <v>244</v>
      </c>
      <c r="B27" s="6" t="s">
        <v>245</v>
      </c>
      <c r="C27" s="79" t="s">
        <v>243</v>
      </c>
    </row>
    <row r="28" spans="1:3" ht="53.56" customHeight="1">
      <c r="A28" s="78" t="s">
        <v>246</v>
      </c>
      <c r="B28" s="6" t="s">
        <v>247</v>
      </c>
      <c r="C28" s="79" t="s">
        <v>248</v>
      </c>
    </row>
    <row r="29" spans="1:3" ht="22" customHeight="1">
      <c r="A29" s="16" t="s">
        <v>249</v>
      </c>
      <c r="B29" s="16"/>
      <c r="C29" s="16"/>
    </row>
    <row r="30" spans="1:3" ht="53.56" customHeight="1">
      <c r="A30" s="78" t="s">
        <v>250</v>
      </c>
      <c r="B30" s="6" t="s">
        <v>251</v>
      </c>
      <c r="C30" s="79" t="s">
        <v>243</v>
      </c>
    </row>
    <row r="31" spans="1:3" ht="53.56" customHeight="1">
      <c r="A31" s="78" t="s">
        <v>252</v>
      </c>
      <c r="B31" s="6" t="s">
        <v>253</v>
      </c>
      <c r="C31" s="79" t="s">
        <v>254</v>
      </c>
    </row>
    <row r="32" spans="1:3" ht="68.08" customHeight="1">
      <c r="A32" s="78" t="s">
        <v>255</v>
      </c>
      <c r="B32" s="6" t="s">
        <v>256</v>
      </c>
      <c r="C32" s="79" t="s">
        <v>257</v>
      </c>
    </row>
    <row r="33" spans="1:3" ht="39.04" customHeight="1">
      <c r="A33" s="78" t="s">
        <v>258</v>
      </c>
      <c r="B33" s="6" t="s">
        <v>259</v>
      </c>
      <c r="C33" s="79" t="s">
        <v>243</v>
      </c>
    </row>
    <row r="34" spans="1:3" ht="39.04" customHeight="1">
      <c r="A34" s="78" t="s">
        <v>260</v>
      </c>
      <c r="B34" s="6" t="s">
        <v>261</v>
      </c>
      <c r="C34" s="79" t="s">
        <v>262</v>
      </c>
    </row>
    <row r="35" spans="1:3" ht="22" customHeight="1">
      <c r="A35" s="16" t="s">
        <v>263</v>
      </c>
      <c r="B35" s="16"/>
      <c r="C35" s="16"/>
    </row>
    <row r="36" spans="1:3" ht="24.52" customHeight="1">
      <c r="A36" s="78" t="s">
        <v>264</v>
      </c>
      <c r="B36" s="6" t="s">
        <v>265</v>
      </c>
      <c r="C36" s="79"/>
    </row>
    <row r="37" spans="1:3" ht="39.04" customHeight="1">
      <c r="A37" s="78" t="s">
        <v>266</v>
      </c>
      <c r="B37" s="6" t="s">
        <v>267</v>
      </c>
      <c r="C37" s="79"/>
    </row>
    <row r="38" spans="1:3" ht="39.04" customHeight="1">
      <c r="A38" s="78" t="s">
        <v>268</v>
      </c>
      <c r="B38" s="6" t="s">
        <v>269</v>
      </c>
      <c r="C38" s="79"/>
    </row>
    <row r="39" spans="1:3" ht="24.52" customHeight="1">
      <c r="A39" s="78" t="s">
        <v>270</v>
      </c>
      <c r="B39" s="6" t="s">
        <v>271</v>
      </c>
      <c r="C39" s="79"/>
    </row>
    <row r="40" spans="1:3" ht="24.52" customHeight="1">
      <c r="A40" s="78" t="s">
        <v>272</v>
      </c>
      <c r="B40" s="6" t="s">
        <v>273</v>
      </c>
      <c r="C40" s="79"/>
    </row>
    <row r="41" spans="1:3" ht="24.52" customHeight="1">
      <c r="A41" s="78" t="s">
        <v>274</v>
      </c>
      <c r="B41" s="6" t="s">
        <v>275</v>
      </c>
      <c r="C41" s="79"/>
    </row>
    <row r="42" spans="1:3" ht="39.04" customHeight="1">
      <c r="A42" s="78" t="s">
        <v>276</v>
      </c>
      <c r="B42" s="6" t="s">
        <v>277</v>
      </c>
      <c r="C42" s="79"/>
    </row>
    <row r="43" spans="1:3" ht="24.52" customHeight="1">
      <c r="A43" s="78" t="s">
        <v>278</v>
      </c>
      <c r="B43" s="6" t="s">
        <v>279</v>
      </c>
      <c r="C43" s="79"/>
    </row>
    <row r="44" spans="1:3" ht="24.52" customHeight="1">
      <c r="A44" s="78" t="s">
        <v>280</v>
      </c>
      <c r="B44" s="6" t="s">
        <v>281</v>
      </c>
      <c r="C44" s="79"/>
    </row>
    <row r="45" spans="1:3" ht="39.04" customHeight="1">
      <c r="A45" s="78" t="s">
        <v>282</v>
      </c>
      <c r="B45" s="6" t="s">
        <v>283</v>
      </c>
      <c r="C45" s="79"/>
    </row>
    <row r="46" spans="1:3" ht="24.52" customHeight="1">
      <c r="A46" s="78" t="s">
        <v>284</v>
      </c>
      <c r="B46" s="6" t="s">
        <v>285</v>
      </c>
      <c r="C46" s="79"/>
    </row>
    <row r="47" spans="1:3" ht="39.04" customHeight="1">
      <c r="A47" s="78" t="s">
        <v>286</v>
      </c>
      <c r="B47" s="6" t="s">
        <v>287</v>
      </c>
      <c r="C47" s="79"/>
    </row>
    <row r="48" spans="1:3" ht="53.56" customHeight="1">
      <c r="A48" s="78" t="s">
        <v>288</v>
      </c>
      <c r="B48" s="6" t="s">
        <v>289</v>
      </c>
      <c r="C48" s="79"/>
    </row>
    <row r="50" spans="1:3">
      <c r="A50" s="16" t="s">
        <v>358</v>
      </c>
      <c r="B50" s="16"/>
      <c r="C50" s="16"/>
    </row>
    <row r="51" spans="1:3">
      <c r="A51" s="4" t="s">
        <v>359</v>
      </c>
      <c r="B51" s="4" t="s">
        <v>360</v>
      </c>
      <c r="C51" s="4" t="s">
        <v>361</v>
      </c>
    </row>
    <row r="52" spans="1:3" ht="53.56" customHeight="1">
      <c r="A52" s="6" t="s">
        <v>362</v>
      </c>
      <c r="B52" s="6" t="s">
        <v>363</v>
      </c>
      <c r="C52" s="80" t="s">
        <v>364</v>
      </c>
    </row>
    <row r="53" spans="1:3" ht="39.04" customHeight="1">
      <c r="A53" s="6" t="s">
        <v>365</v>
      </c>
      <c r="B53" s="6" t="s">
        <v>366</v>
      </c>
      <c r="C53" s="80" t="s">
        <v>364</v>
      </c>
    </row>
    <row r="54" spans="1:3" ht="24.52" customHeight="1">
      <c r="A54" s="6" t="s">
        <v>367</v>
      </c>
      <c r="B54" s="6" t="s">
        <v>368</v>
      </c>
      <c r="C54" s="80" t="s">
        <v>364</v>
      </c>
    </row>
    <row r="55" spans="1:3" ht="39.04" customHeight="1">
      <c r="A55" s="6" t="s">
        <v>369</v>
      </c>
      <c r="B55" s="6" t="s">
        <v>370</v>
      </c>
      <c r="C55" s="80" t="s">
        <v>364</v>
      </c>
    </row>
    <row r="56" spans="1:3" ht="39.04" customHeight="1">
      <c r="A56" s="6" t="s">
        <v>371</v>
      </c>
      <c r="B56" s="6" t="s">
        <v>372</v>
      </c>
      <c r="C56" s="80" t="s">
        <v>364</v>
      </c>
    </row>
    <row r="57" spans="1:3" ht="24.52" customHeight="1">
      <c r="A57" s="6" t="s">
        <v>373</v>
      </c>
      <c r="B57" s="6" t="s">
        <v>374</v>
      </c>
      <c r="C57" s="80" t="s">
        <v>364</v>
      </c>
    </row>
    <row r="58" spans="1:3" ht="24.52" customHeight="1">
      <c r="A58" s="6" t="s">
        <v>375</v>
      </c>
      <c r="B58" s="6" t="s">
        <v>374</v>
      </c>
      <c r="C58" s="80" t="s">
        <v>364</v>
      </c>
    </row>
    <row r="59" spans="1:3" ht="39.04" customHeight="1">
      <c r="A59" s="6" t="s">
        <v>376</v>
      </c>
      <c r="B59" s="6" t="s">
        <v>377</v>
      </c>
      <c r="C59" s="80" t="s">
        <v>364</v>
      </c>
    </row>
    <row r="60" spans="1:3" ht="24.52" customHeight="1">
      <c r="A60" s="6" t="s">
        <v>378</v>
      </c>
      <c r="B60" s="6" t="s">
        <v>379</v>
      </c>
      <c r="C60" s="80" t="s">
        <v>364</v>
      </c>
    </row>
    <row r="61" spans="1:3" ht="24.52" customHeight="1">
      <c r="A61" s="6" t="s">
        <v>380</v>
      </c>
      <c r="B61" s="6" t="s">
        <v>381</v>
      </c>
      <c r="C61" s="80" t="s">
        <v>364</v>
      </c>
    </row>
    <row r="62" spans="1:3" ht="24.52" customHeight="1">
      <c r="A62" s="6" t="s">
        <v>382</v>
      </c>
      <c r="B62" s="6" t="s">
        <v>383</v>
      </c>
      <c r="C62" s="80" t="s">
        <v>364</v>
      </c>
    </row>
    <row r="63" spans="1:3" ht="24.52" customHeight="1">
      <c r="A63" s="6" t="s">
        <v>384</v>
      </c>
      <c r="B63" s="6" t="s">
        <v>383</v>
      </c>
      <c r="C63" s="80" t="s">
        <v>364</v>
      </c>
    </row>
    <row r="64" spans="1:3" ht="39.04" customHeight="1">
      <c r="A64" s="6" t="s">
        <v>385</v>
      </c>
      <c r="B64" s="6" t="s">
        <v>386</v>
      </c>
      <c r="C64" s="80" t="s">
        <v>364</v>
      </c>
    </row>
    <row r="65" spans="1:3" ht="24.52" customHeight="1">
      <c r="A65" s="6" t="s">
        <v>387</v>
      </c>
      <c r="B65" s="6" t="s">
        <v>374</v>
      </c>
      <c r="C65" s="80" t="s">
        <v>364</v>
      </c>
    </row>
    <row r="66" spans="1:3" ht="24.52" customHeight="1">
      <c r="A66" s="6" t="s">
        <v>388</v>
      </c>
      <c r="B66" s="6" t="s">
        <v>389</v>
      </c>
      <c r="C66" s="80" t="s">
        <v>364</v>
      </c>
    </row>
    <row r="67" spans="1:3" ht="24.52" customHeight="1">
      <c r="A67" s="6" t="s">
        <v>390</v>
      </c>
      <c r="B67" s="6" t="s">
        <v>389</v>
      </c>
      <c r="C67" s="80" t="s">
        <v>364</v>
      </c>
    </row>
    <row r="68" spans="1:3" ht="24.52" customHeight="1">
      <c r="A68" s="6" t="s">
        <v>391</v>
      </c>
      <c r="B68" s="6" t="s">
        <v>389</v>
      </c>
      <c r="C68" s="80" t="s">
        <v>364</v>
      </c>
    </row>
    <row r="69" spans="1:3" ht="24.52" customHeight="1">
      <c r="A69" s="6" t="s">
        <v>392</v>
      </c>
      <c r="B69" s="6" t="s">
        <v>290</v>
      </c>
      <c r="C69" s="80" t="s">
        <v>364</v>
      </c>
    </row>
    <row r="70" spans="1:3" ht="24.52" customHeight="1">
      <c r="A70" s="6" t="s">
        <v>393</v>
      </c>
      <c r="B70" s="6" t="s">
        <v>394</v>
      </c>
      <c r="C70" s="80" t="s">
        <v>364</v>
      </c>
    </row>
    <row r="71" spans="1:3" ht="39.04" customHeight="1">
      <c r="A71" s="6" t="s">
        <v>395</v>
      </c>
      <c r="B71" s="6" t="s">
        <v>396</v>
      </c>
      <c r="C71" s="80" t="s">
        <v>364</v>
      </c>
    </row>
    <row r="72" spans="1:3" ht="39.04" customHeight="1">
      <c r="A72" s="6" t="s">
        <v>397</v>
      </c>
      <c r="B72" s="6" t="s">
        <v>77</v>
      </c>
      <c r="C72" s="80" t="s">
        <v>364</v>
      </c>
    </row>
  </sheetData>
  <mergeCells count="7">
    <mergeCell ref="A4:C4"/>
    <mergeCell ref="A12:C12"/>
    <mergeCell ref="A21:C21"/>
    <mergeCell ref="A25:C25"/>
    <mergeCell ref="A29:C29"/>
    <mergeCell ref="A35:C35"/>
    <mergeCell ref="A50:C50"/>
  </mergeCells>
  <pageMargins left="0.7" right="0.7" top="0.75" bottom="0.75" header="0.3" footer="0.3"/>
  <pageSetup paperSize="9" fitToHeight="0" orientation="landscape"/>
</worksheet>
</file>

<file path=xl/worksheets/sheet8.xml><?xml version="1.0" encoding="utf-8"?>
<worksheet xmlns="http://schemas.openxmlformats.org/spreadsheetml/2006/main" xmlns:r="http://schemas.openxmlformats.org/officeDocument/2006/relationships">
  <sheetPr>
    <pageSetUpPr fitToPage="1"/>
  </sheetPr>
  <dimension ref="A1:G42"/>
  <sheetViews>
    <sheetView showGridLines="0" zoomScale="90" zoomScaleNormal="90" workbookViewId="0"/>
  </sheetViews>
  <sheetFormatPr defaultRowHeight="15"/>
  <cols>
    <col min="1" max="1" width="8.7109375" customWidth="1"/>
    <col min="2" max="2" width="30.7109375" customWidth="1"/>
    <col min="3" max="7" width="44.7109375" customWidth="1"/>
  </cols>
  <sheetData>
    <row r="1" spans="1:7" ht="30" customHeight="1">
      <c r="A1" s="19" t="s">
        <v>290</v>
      </c>
    </row>
    <row r="2" spans="1:7">
      <c r="A2" s="20" t="s">
        <v>291</v>
      </c>
    </row>
    <row r="4" spans="1:7">
      <c r="A4" s="16" t="s">
        <v>292</v>
      </c>
      <c r="B4" s="16"/>
      <c r="C4" s="16"/>
      <c r="D4" s="16"/>
      <c r="E4" s="16"/>
      <c r="F4" s="16"/>
      <c r="G4" s="16"/>
    </row>
    <row r="5" spans="1:7" ht="30" customHeight="1">
      <c r="A5" s="4" t="s">
        <v>293</v>
      </c>
      <c r="B5" s="4" t="s">
        <v>2</v>
      </c>
      <c r="C5" s="4" t="s">
        <v>294</v>
      </c>
      <c r="D5" s="4" t="s">
        <v>295</v>
      </c>
      <c r="E5" s="4" t="s">
        <v>296</v>
      </c>
      <c r="F5" s="4" t="s">
        <v>297</v>
      </c>
    </row>
    <row r="6" spans="1:7" ht="111.64" customHeight="1">
      <c r="A6" s="81">
        <v>1</v>
      </c>
      <c r="B6" s="82" t="s">
        <v>21</v>
      </c>
      <c r="C6" s="6" t="s">
        <v>298</v>
      </c>
      <c r="D6" s="6" t="s">
        <v>299</v>
      </c>
      <c r="E6" s="6" t="s">
        <v>300</v>
      </c>
      <c r="F6" s="6" t="s">
        <v>301</v>
      </c>
    </row>
    <row r="7" spans="1:7" ht="126.16" customHeight="1">
      <c r="A7" s="83">
        <v>2</v>
      </c>
      <c r="B7" s="84" t="s">
        <v>9</v>
      </c>
      <c r="C7" s="6" t="s">
        <v>302</v>
      </c>
      <c r="D7" s="6" t="s">
        <v>303</v>
      </c>
      <c r="E7" s="6" t="s">
        <v>304</v>
      </c>
      <c r="F7" s="6" t="s">
        <v>305</v>
      </c>
    </row>
    <row r="8" spans="1:7" ht="140.68" customHeight="1">
      <c r="A8" s="83">
        <v>3</v>
      </c>
      <c r="B8" s="84" t="s">
        <v>13</v>
      </c>
      <c r="C8" s="6" t="s">
        <v>306</v>
      </c>
      <c r="D8" s="6" t="s">
        <v>307</v>
      </c>
      <c r="E8" s="6" t="s">
        <v>308</v>
      </c>
      <c r="F8" s="6" t="s">
        <v>309</v>
      </c>
    </row>
    <row r="9" spans="1:7" ht="97.12" customHeight="1">
      <c r="A9" s="83">
        <v>4</v>
      </c>
      <c r="B9" s="84" t="s">
        <v>17</v>
      </c>
      <c r="C9" s="6" t="s">
        <v>310</v>
      </c>
      <c r="D9" s="6" t="s">
        <v>311</v>
      </c>
      <c r="E9" s="6" t="s">
        <v>312</v>
      </c>
      <c r="F9" s="6" t="s">
        <v>313</v>
      </c>
    </row>
    <row r="11" spans="1:7">
      <c r="A11" s="16" t="s">
        <v>314</v>
      </c>
      <c r="B11" s="16"/>
      <c r="C11" s="16"/>
      <c r="D11" s="16"/>
      <c r="E11" s="16"/>
      <c r="F11" s="16"/>
      <c r="G11" s="16"/>
    </row>
    <row r="12" spans="1:7" ht="71.48" customHeight="1">
      <c r="A12" s="85" t="s">
        <v>315</v>
      </c>
      <c r="B12" s="85"/>
      <c r="C12" s="85"/>
      <c r="D12" s="85"/>
      <c r="E12" s="85"/>
      <c r="F12" s="85"/>
      <c r="G12" s="85"/>
    </row>
    <row r="14" spans="1:7">
      <c r="A14" s="16" t="s">
        <v>316</v>
      </c>
      <c r="B14" s="16"/>
      <c r="C14" s="16"/>
      <c r="D14" s="16"/>
      <c r="E14" s="16"/>
      <c r="F14" s="16"/>
      <c r="G14" s="16"/>
    </row>
    <row r="15" spans="1:7" ht="34" customHeight="1">
      <c r="A15" s="4"/>
      <c r="B15" s="4" t="s">
        <v>317</v>
      </c>
      <c r="C15" s="4" t="s">
        <v>9</v>
      </c>
      <c r="D15" s="4" t="s">
        <v>13</v>
      </c>
      <c r="E15" s="4" t="s">
        <v>17</v>
      </c>
      <c r="F15" s="4" t="s">
        <v>21</v>
      </c>
      <c r="G15" s="4" t="s">
        <v>38</v>
      </c>
    </row>
    <row r="16" spans="1:7" ht="34" customHeight="1">
      <c r="A16" s="36"/>
      <c r="B16" s="78" t="s">
        <v>318</v>
      </c>
      <c r="C16" s="86">
        <f>'Trade-off Board'!G5</f>
        <v>0.9763333333333334</v>
      </c>
      <c r="D16" s="86">
        <f>'Trade-off Board'!G6</f>
        <v>0.9818888888888888</v>
      </c>
      <c r="E16" s="86">
        <f>'Trade-off Board'!G7</f>
        <v>0.9764444444444446</v>
      </c>
      <c r="F16" s="86">
        <f>'Trade-off Board'!G8</f>
        <v>0.9797777777777777</v>
      </c>
      <c r="G16" s="6" t="s">
        <v>319</v>
      </c>
    </row>
    <row r="17" spans="1:7" ht="34" customHeight="1">
      <c r="A17" s="36"/>
      <c r="B17" s="78" t="s">
        <v>320</v>
      </c>
      <c r="C17" s="86">
        <f>'Trade-off Board'!J5</f>
        <v>0.9652777777777778</v>
      </c>
      <c r="D17" s="86">
        <f>'Trade-off Board'!J6</f>
        <v>0.9666666666666667</v>
      </c>
      <c r="E17" s="86">
        <f>'Trade-off Board'!J7</f>
        <v>0.9666666666666667</v>
      </c>
      <c r="F17" s="86">
        <f>'Trade-off Board'!J8</f>
        <v>0.9555555555555556</v>
      </c>
      <c r="G17" s="6" t="s">
        <v>321</v>
      </c>
    </row>
    <row r="18" spans="1:7" ht="34" customHeight="1">
      <c r="A18" s="36"/>
      <c r="B18" s="78" t="s">
        <v>322</v>
      </c>
      <c r="C18" s="87">
        <f>'Trade-off Board'!M5</f>
        <v>5.227630999968369</v>
      </c>
      <c r="D18" s="87">
        <f>'Trade-off Board'!M6</f>
        <v>6.931631499980995</v>
      </c>
      <c r="E18" s="87">
        <f>'Trade-off Board'!M7</f>
        <v>11.474539499999992</v>
      </c>
      <c r="F18" s="87">
        <f>'Trade-off Board'!M8</f>
        <v>2.8454859999555993</v>
      </c>
      <c r="G18" s="6" t="s">
        <v>323</v>
      </c>
    </row>
    <row r="19" spans="1:7" ht="34" customHeight="1">
      <c r="A19" s="36"/>
      <c r="B19" s="78" t="s">
        <v>324</v>
      </c>
      <c r="C19" s="87">
        <f>'Trade-off Board'!N5</f>
        <v>6.531877149961926</v>
      </c>
      <c r="D19" s="87">
        <f>'Trade-off Board'!N6</f>
        <v>8.288925900012599</v>
      </c>
      <c r="E19" s="87">
        <f>'Trade-off Board'!N7</f>
        <v>13.280214150091751</v>
      </c>
      <c r="F19" s="87">
        <f>'Trade-off Board'!N8</f>
        <v>3.373775349996322</v>
      </c>
      <c r="G19" s="6" t="s">
        <v>325</v>
      </c>
    </row>
    <row r="20" spans="1:7" ht="34" customHeight="1">
      <c r="A20" s="36"/>
      <c r="B20" s="78" t="s">
        <v>326</v>
      </c>
      <c r="C20" s="87">
        <f>'Trade-off Board'!P5</f>
        <v>75.40283203125</v>
      </c>
      <c r="D20" s="87">
        <f>'Trade-off Board'!P6</f>
        <v>75.40283203125</v>
      </c>
      <c r="E20" s="87">
        <f>'Trade-off Board'!P7</f>
        <v>73.91259765625</v>
      </c>
      <c r="F20" s="87">
        <f>'Trade-off Board'!P8</f>
        <v>69.53125</v>
      </c>
      <c r="G20" s="6" t="s">
        <v>327</v>
      </c>
    </row>
    <row r="21" spans="1:7" ht="34" customHeight="1">
      <c r="A21" s="36"/>
      <c r="B21" s="78" t="s">
        <v>328</v>
      </c>
      <c r="C21" s="87">
        <f>'Trade-off Board'!E5</f>
        <v>4.805198669433594</v>
      </c>
      <c r="D21" s="87">
        <f>'Trade-off Board'!E6</f>
        <v>4.805198669433594</v>
      </c>
      <c r="E21" s="87">
        <f>'Trade-off Board'!E7</f>
        <v>3.3120346069335938</v>
      </c>
      <c r="F21" s="87">
        <f>'Trade-off Board'!E8</f>
        <v>1.6472396850585938</v>
      </c>
      <c r="G21" s="6" t="s">
        <v>329</v>
      </c>
    </row>
    <row r="22" spans="1:7" ht="34" customHeight="1">
      <c r="A22" s="36"/>
      <c r="B22" s="78" t="s">
        <v>330</v>
      </c>
      <c r="C22" s="88">
        <f>'Trade-off Board'!C5</f>
        <v>1259654</v>
      </c>
      <c r="D22" s="88">
        <f>'Trade-off Board'!C6</f>
        <v>1259654</v>
      </c>
      <c r="E22" s="88">
        <f>'Trade-off Board'!C7</f>
        <v>1259654</v>
      </c>
      <c r="F22" s="88">
        <f>'Trade-off Board'!C8</f>
        <v>431814</v>
      </c>
      <c r="G22" s="6" t="s">
        <v>331</v>
      </c>
    </row>
    <row r="23" spans="1:7" ht="48" customHeight="1">
      <c r="A23" s="36"/>
      <c r="B23" s="78" t="s">
        <v>332</v>
      </c>
      <c r="C23" s="89" t="s">
        <v>333</v>
      </c>
      <c r="D23" s="87">
        <f>'Quality by Seed'!I31</f>
        <v>3.149703941743421</v>
      </c>
      <c r="E23" s="87">
        <f>'Quality by Seed'!I35</f>
        <v>0.057735026918995264</v>
      </c>
      <c r="F23" s="87">
        <f>'Quality by Seed'!I39</f>
        <v>1.2149857925878904</v>
      </c>
      <c r="G23" s="6" t="s">
        <v>334</v>
      </c>
    </row>
    <row r="24" spans="1:7" ht="48" customHeight="1">
      <c r="A24" s="36"/>
      <c r="B24" s="78" t="s">
        <v>335</v>
      </c>
      <c r="C24" s="89" t="s">
        <v>333</v>
      </c>
      <c r="D24" s="87">
        <f>'Quality by Seed'!I34</f>
        <v>0.07392212709545684</v>
      </c>
      <c r="E24" s="87">
        <f>'Quality by Seed'!I38</f>
        <v>0.07273929674533038</v>
      </c>
      <c r="F24" s="87">
        <f>'Quality by Seed'!I42</f>
        <v>0.517454889668198</v>
      </c>
      <c r="G24" s="6" t="s">
        <v>336</v>
      </c>
    </row>
    <row r="25" spans="1:7" ht="48" customHeight="1">
      <c r="A25" s="36"/>
      <c r="B25" s="78" t="s">
        <v>337</v>
      </c>
      <c r="C25" s="90" t="s">
        <v>338</v>
      </c>
      <c r="D25" s="90" t="s">
        <v>339</v>
      </c>
      <c r="E25" s="90" t="s">
        <v>340</v>
      </c>
      <c r="F25" s="90" t="s">
        <v>341</v>
      </c>
      <c r="G25" s="6" t="s">
        <v>342</v>
      </c>
    </row>
    <row r="27" spans="1:7">
      <c r="A27" s="16" t="s">
        <v>343</v>
      </c>
      <c r="B27" s="16"/>
      <c r="C27" s="16"/>
      <c r="D27" s="16"/>
      <c r="E27" s="16"/>
      <c r="F27" s="16"/>
      <c r="G27" s="16"/>
    </row>
    <row r="28" spans="1:7" ht="20" customHeight="1">
      <c r="A28" s="17" t="s">
        <v>344</v>
      </c>
      <c r="B28" s="17"/>
      <c r="C28" s="17"/>
      <c r="D28" s="17"/>
      <c r="E28" s="17"/>
      <c r="F28" s="17"/>
      <c r="G28" s="17"/>
    </row>
    <row r="29" spans="1:7" ht="20" customHeight="1">
      <c r="A29" s="17" t="s">
        <v>345</v>
      </c>
      <c r="B29" s="17"/>
      <c r="C29" s="17"/>
      <c r="D29" s="17"/>
      <c r="E29" s="17"/>
      <c r="F29" s="17"/>
      <c r="G29" s="17"/>
    </row>
    <row r="30" spans="1:7" ht="20" customHeight="1">
      <c r="A30" s="17" t="s">
        <v>346</v>
      </c>
      <c r="B30" s="17"/>
      <c r="C30" s="17"/>
      <c r="D30" s="17"/>
      <c r="E30" s="17"/>
      <c r="F30" s="17"/>
      <c r="G30" s="17"/>
    </row>
    <row r="31" spans="1:7" ht="20" customHeight="1">
      <c r="A31" s="17" t="s">
        <v>347</v>
      </c>
      <c r="B31" s="17"/>
      <c r="C31" s="17"/>
      <c r="D31" s="17"/>
      <c r="E31" s="17"/>
      <c r="F31" s="17"/>
      <c r="G31" s="17"/>
    </row>
    <row r="32" spans="1:7" ht="20" customHeight="1">
      <c r="A32" s="17" t="s">
        <v>348</v>
      </c>
      <c r="B32" s="17"/>
      <c r="C32" s="17"/>
      <c r="D32" s="17"/>
      <c r="E32" s="17"/>
      <c r="F32" s="17"/>
      <c r="G32" s="17"/>
    </row>
    <row r="33" spans="1:7" ht="20" customHeight="1">
      <c r="A33" s="17" t="s">
        <v>349</v>
      </c>
      <c r="B33" s="17"/>
      <c r="C33" s="17"/>
      <c r="D33" s="17"/>
      <c r="E33" s="17"/>
      <c r="F33" s="17"/>
      <c r="G33" s="17"/>
    </row>
    <row r="34" spans="1:7" ht="20" customHeight="1">
      <c r="A34" s="17" t="s">
        <v>350</v>
      </c>
      <c r="B34" s="17"/>
      <c r="C34" s="17"/>
      <c r="D34" s="17"/>
      <c r="E34" s="17"/>
      <c r="F34" s="17"/>
      <c r="G34" s="17"/>
    </row>
    <row r="35" spans="1:7" ht="20" customHeight="1">
      <c r="A35" s="17" t="s">
        <v>351</v>
      </c>
      <c r="B35" s="17"/>
      <c r="C35" s="17"/>
      <c r="D35" s="17"/>
      <c r="E35" s="17"/>
      <c r="F35" s="17"/>
      <c r="G35" s="17"/>
    </row>
    <row r="36" spans="1:7" ht="20" customHeight="1">
      <c r="A36" s="17" t="s">
        <v>352</v>
      </c>
      <c r="B36" s="17"/>
      <c r="C36" s="17"/>
      <c r="D36" s="17"/>
      <c r="E36" s="17"/>
      <c r="F36" s="17"/>
      <c r="G36" s="17"/>
    </row>
    <row r="37" spans="1:7" ht="20" customHeight="1">
      <c r="A37" s="17" t="s">
        <v>353</v>
      </c>
      <c r="B37" s="17"/>
      <c r="C37" s="17"/>
      <c r="D37" s="17"/>
      <c r="E37" s="17"/>
      <c r="F37" s="17"/>
      <c r="G37" s="17"/>
    </row>
    <row r="39" spans="1:7">
      <c r="A39" s="16" t="s">
        <v>354</v>
      </c>
      <c r="B39" s="16"/>
      <c r="C39" s="16"/>
      <c r="D39" s="16"/>
      <c r="E39" s="16"/>
      <c r="F39" s="16"/>
      <c r="G39" s="16"/>
    </row>
    <row r="40" spans="1:7" ht="24.52" customHeight="1">
      <c r="A40" s="17" t="s">
        <v>355</v>
      </c>
      <c r="B40" s="17"/>
      <c r="C40" s="17"/>
      <c r="D40" s="17"/>
      <c r="E40" s="17"/>
      <c r="F40" s="17"/>
      <c r="G40" s="17"/>
    </row>
    <row r="41" spans="1:7" ht="24.52" customHeight="1">
      <c r="A41" s="17" t="s">
        <v>356</v>
      </c>
      <c r="B41" s="17"/>
      <c r="C41" s="17"/>
      <c r="D41" s="17"/>
      <c r="E41" s="17"/>
      <c r="F41" s="17"/>
      <c r="G41" s="17"/>
    </row>
    <row r="42" spans="1:7" ht="24.52" customHeight="1">
      <c r="A42" s="17" t="s">
        <v>357</v>
      </c>
      <c r="B42" s="17"/>
      <c r="C42" s="17"/>
      <c r="D42" s="17"/>
      <c r="E42" s="17"/>
      <c r="F42" s="17"/>
      <c r="G42" s="17"/>
    </row>
  </sheetData>
  <mergeCells count="19">
    <mergeCell ref="A4:G4"/>
    <mergeCell ref="A11:G11"/>
    <mergeCell ref="A12:G12"/>
    <mergeCell ref="A14:G14"/>
    <mergeCell ref="A27:G27"/>
    <mergeCell ref="A28:G28"/>
    <mergeCell ref="A29:G29"/>
    <mergeCell ref="A30:G30"/>
    <mergeCell ref="A31:G31"/>
    <mergeCell ref="A32:G32"/>
    <mergeCell ref="A33:G33"/>
    <mergeCell ref="A34:G34"/>
    <mergeCell ref="A35:G35"/>
    <mergeCell ref="A36:G36"/>
    <mergeCell ref="A37:G37"/>
    <mergeCell ref="A39:G39"/>
    <mergeCell ref="A40:G40"/>
    <mergeCell ref="A41:G41"/>
    <mergeCell ref="A42:G42"/>
  </mergeCells>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Trade-off Board</vt:lpstr>
      <vt:lpstr>Quality by Seed</vt:lpstr>
      <vt:lpstr>Per-Class Results</vt:lpstr>
      <vt:lpstr>Raw Benchmark Runs</vt:lpstr>
      <vt:lpstr>Benchmark Detail</vt:lpstr>
      <vt:lpstr>Scaling Law</vt:lpstr>
      <vt:lpstr>Methodology</vt:lpstr>
      <vt:lpstr>Recommendation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Brightline Logistics Model Deployment Trade-Off Board</dc:title>
  <dc:subject>Week 5 model trade-off assignment</dc:subject>
  <dc:creator/>
  <dc:description>Built from completed experiment result files; no values were retyped or invented.</dc:description>
  <cp:lastModifiedBy/>
  <dcterms:created xsi:type="dcterms:W3CDTF">2026-10-11T15:25:17Z</dcterms:created>
  <dcterms:modified xsi:type="dcterms:W3CDTF">2026-10-11T15:25:17Z</dcterms:modified>
</cp:coreProperties>
</file>